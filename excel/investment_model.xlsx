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effm\OneDrive\Desktop\kenya-digital-lending-2026\excel\"/>
    </mc:Choice>
  </mc:AlternateContent>
  <xr:revisionPtr revIDLastSave="0" documentId="13_ncr:1_{B7A62AFB-CF76-4C4A-9855-E8F51CB54ADF}" xr6:coauthVersionLast="47" xr6:coauthVersionMax="47" xr10:uidLastSave="{00000000-0000-0000-0000-000000000000}"/>
  <bookViews>
    <workbookView xWindow="-105" yWindow="0" windowWidth="12510" windowHeight="10905" xr2:uid="{00000000-000D-0000-FFFF-FFFF00000000}"/>
  </bookViews>
  <sheets>
    <sheet name="ASSUMPTIONS" sheetId="1" r:id="rId1"/>
    <sheet name="MARKET_MODEL" sheetId="2" r:id="rId2"/>
    <sheet name="RISK_SEGMENTS" sheetId="3" r:id="rId3"/>
    <sheet name="LOAN_CASHFLOWS" sheetId="4" r:id="rId4"/>
    <sheet name="PORTFOLIO" sheetId="5" r:id="rId5"/>
    <sheet name="INCOME_STATEMENT" sheetId="6" r:id="rId6"/>
    <sheet name="INVESTOR_RETURNS" sheetId="7" r:id="rId7"/>
    <sheet name="STRESS_TEST" sheetId="9" r:id="rId8"/>
  </sheets>
  <definedNames>
    <definedName name="approval_rate">ASSUMPTIONS!$B$26</definedName>
    <definedName name="avg_loan_size">ASSUMPTIONS!$B$15</definedName>
    <definedName name="avg_term_months">ASSUMPTIONS!$B$18</definedName>
    <definedName name="CAC_blended">ASSUMPTIONS!$B$31</definedName>
    <definedName name="CAC_organic">ASSUMPTIONS!$B$30</definedName>
    <definedName name="CAC_paid">ASSUMPTIONS!$B$29</definedName>
    <definedName name="churn_rate">ASSUMPTIONS!$B$28</definedName>
    <definedName name="cost_of_debt">ASSUMPTIONS!$B$6</definedName>
    <definedName name="equity_ratio">ASSUMPTIONS!$B$7</definedName>
    <definedName name="exit_multiple_ebitda">ASSUMPTIONS!$B$12</definedName>
    <definedName name="inflation_elasticity">ASSUMPTIONS!$B$48</definedName>
    <definedName name="LGD_nearprime">ASSUMPTIONS!$B$38</definedName>
    <definedName name="LGD_prime">ASSUMPTIONS!$B$37</definedName>
    <definedName name="LGD_recession_uplift">ASSUMPTIONS!$B$50</definedName>
    <definedName name="LGD_subprime">ASSUMPTIONS!$B$39</definedName>
    <definedName name="monthly_growth_rate">ASSUMPTIONS!$B$25</definedName>
    <definedName name="origination_fee">ASSUMPTIONS!$B$20</definedName>
    <definedName name="PD_nearprime">ASSUMPTIONS!$B$35</definedName>
    <definedName name="PD_prime">ASSUMPTIONS!$B$34</definedName>
    <definedName name="PD_subprime">ASSUMPTIONS!$B$36</definedName>
    <definedName name="portfolio_LGD">ASSUMPTIONS!$B$44</definedName>
    <definedName name="portfolio_PD">ASSUMPTIONS!$B$43</definedName>
    <definedName name="rate_elasticity">ASSUMPTIONS!$B$49</definedName>
    <definedName name="repeat_rate">ASSUMPTIONS!$B$27</definedName>
    <definedName name="share_nearprime">ASSUMPTIONS!$B$41</definedName>
    <definedName name="share_prime">ASSUMPTIONS!$B$40</definedName>
    <definedName name="share_subprime">ASSUMPTIONS!$B$42</definedName>
    <definedName name="target_IRR">ASSUMPTIONS!$B$11</definedName>
    <definedName name="tax_rate">ASSUMPTIONS!$B$10</definedName>
    <definedName name="unemp_elasticity">ASSUMPTIONS!$B$47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9" l="1"/>
  <c r="D57" i="9"/>
  <c r="E57" i="9"/>
  <c r="B57" i="9"/>
  <c r="D37" i="9"/>
  <c r="E36" i="9"/>
  <c r="C37" i="9"/>
  <c r="B39" i="9"/>
  <c r="B37" i="9"/>
  <c r="B36" i="9"/>
  <c r="D30" i="9"/>
  <c r="C30" i="9"/>
  <c r="B30" i="9"/>
  <c r="E23" i="9"/>
  <c r="D23" i="9"/>
  <c r="C23" i="9"/>
  <c r="B23" i="9"/>
  <c r="B25" i="9"/>
  <c r="B16" i="9"/>
  <c r="E18" i="9"/>
  <c r="E17" i="9"/>
  <c r="E19" i="9" s="1"/>
  <c r="E35" i="9" s="1"/>
  <c r="E16" i="9"/>
  <c r="D19" i="9"/>
  <c r="D18" i="9"/>
  <c r="D17" i="9"/>
  <c r="D16" i="9"/>
  <c r="C18" i="9"/>
  <c r="C19" i="9" s="1"/>
  <c r="C17" i="9"/>
  <c r="C16" i="9"/>
  <c r="B17" i="9"/>
  <c r="B19" i="9" s="1"/>
  <c r="B18" i="9"/>
  <c r="B20" i="9"/>
  <c r="B22" i="7"/>
  <c r="E13" i="6"/>
  <c r="D13" i="6"/>
  <c r="C13" i="6"/>
  <c r="B13" i="6"/>
  <c r="E8" i="6"/>
  <c r="D8" i="6"/>
  <c r="C8" i="6"/>
  <c r="B8" i="6"/>
  <c r="C28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C27" i="5"/>
  <c r="C26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C24" i="5"/>
  <c r="C17" i="5"/>
  <c r="D15" i="5"/>
  <c r="I15" i="5"/>
  <c r="J15" i="5"/>
  <c r="L15" i="5"/>
  <c r="Q15" i="5"/>
  <c r="R15" i="5"/>
  <c r="T15" i="5"/>
  <c r="Y15" i="5"/>
  <c r="Z15" i="5"/>
  <c r="AB15" i="5"/>
  <c r="AG15" i="5"/>
  <c r="AH15" i="5"/>
  <c r="AJ15" i="5"/>
  <c r="D11" i="5"/>
  <c r="E11" i="5"/>
  <c r="E15" i="5" s="1"/>
  <c r="F11" i="5"/>
  <c r="F15" i="5" s="1"/>
  <c r="G11" i="5"/>
  <c r="G15" i="5" s="1"/>
  <c r="H11" i="5"/>
  <c r="H15" i="5" s="1"/>
  <c r="I11" i="5"/>
  <c r="J11" i="5"/>
  <c r="K11" i="5"/>
  <c r="K15" i="5" s="1"/>
  <c r="L11" i="5"/>
  <c r="M11" i="5"/>
  <c r="M15" i="5" s="1"/>
  <c r="N11" i="5"/>
  <c r="N15" i="5" s="1"/>
  <c r="O11" i="5"/>
  <c r="O15" i="5" s="1"/>
  <c r="P11" i="5"/>
  <c r="P15" i="5" s="1"/>
  <c r="Q11" i="5"/>
  <c r="R11" i="5"/>
  <c r="S11" i="5"/>
  <c r="S15" i="5" s="1"/>
  <c r="T11" i="5"/>
  <c r="U11" i="5"/>
  <c r="U15" i="5" s="1"/>
  <c r="V11" i="5"/>
  <c r="V15" i="5" s="1"/>
  <c r="W11" i="5"/>
  <c r="W15" i="5" s="1"/>
  <c r="X11" i="5"/>
  <c r="X15" i="5" s="1"/>
  <c r="Y11" i="5"/>
  <c r="Z11" i="5"/>
  <c r="AA11" i="5"/>
  <c r="AA15" i="5" s="1"/>
  <c r="AB11" i="5"/>
  <c r="AC11" i="5"/>
  <c r="AC15" i="5" s="1"/>
  <c r="AD11" i="5"/>
  <c r="AD15" i="5" s="1"/>
  <c r="AE11" i="5"/>
  <c r="AE15" i="5" s="1"/>
  <c r="AF11" i="5"/>
  <c r="AF15" i="5" s="1"/>
  <c r="AG11" i="5"/>
  <c r="AH11" i="5"/>
  <c r="AI11" i="5"/>
  <c r="AI15" i="5" s="1"/>
  <c r="AJ11" i="5"/>
  <c r="AK11" i="5"/>
  <c r="AK15" i="5" s="1"/>
  <c r="AL11" i="5"/>
  <c r="AL15" i="5" s="1"/>
  <c r="C11" i="5"/>
  <c r="C15" i="5" s="1"/>
  <c r="A25" i="4"/>
  <c r="A24" i="4"/>
  <c r="L23" i="4"/>
  <c r="K23" i="4"/>
  <c r="B23" i="4"/>
  <c r="A23" i="4"/>
  <c r="N22" i="4"/>
  <c r="M22" i="4"/>
  <c r="K22" i="4"/>
  <c r="J22" i="4"/>
  <c r="I22" i="4"/>
  <c r="B15" i="4"/>
  <c r="B13" i="4"/>
  <c r="B10" i="4"/>
  <c r="B6" i="4"/>
  <c r="B5" i="4"/>
  <c r="B7" i="4" s="1"/>
  <c r="D9" i="3"/>
  <c r="D7" i="3"/>
  <c r="C7" i="3"/>
  <c r="B7" i="3"/>
  <c r="D6" i="3"/>
  <c r="C6" i="3"/>
  <c r="B6" i="3"/>
  <c r="D5" i="3"/>
  <c r="C5" i="3"/>
  <c r="E5" i="3" s="1"/>
  <c r="G5" i="3" s="1"/>
  <c r="B5" i="3"/>
  <c r="D22" i="2"/>
  <c r="E22" i="2"/>
  <c r="F22" i="2" s="1"/>
  <c r="G22" i="2" s="1"/>
  <c r="H22" i="2" s="1"/>
  <c r="I22" i="2" s="1"/>
  <c r="J22" i="2" s="1"/>
  <c r="K22" i="2" s="1"/>
  <c r="L22" i="2" s="1"/>
  <c r="M22" i="2" s="1"/>
  <c r="N22" i="2" s="1"/>
  <c r="O22" i="2" s="1"/>
  <c r="P22" i="2" s="1"/>
  <c r="Q22" i="2" s="1"/>
  <c r="R22" i="2" s="1"/>
  <c r="S22" i="2" s="1"/>
  <c r="T22" i="2" s="1"/>
  <c r="U22" i="2" s="1"/>
  <c r="V22" i="2" s="1"/>
  <c r="W22" i="2" s="1"/>
  <c r="X22" i="2" s="1"/>
  <c r="Y22" i="2" s="1"/>
  <c r="Z22" i="2" s="1"/>
  <c r="AA22" i="2" s="1"/>
  <c r="AB22" i="2" s="1"/>
  <c r="AC22" i="2" s="1"/>
  <c r="AD22" i="2" s="1"/>
  <c r="AE22" i="2" s="1"/>
  <c r="AF22" i="2" s="1"/>
  <c r="AG22" i="2" s="1"/>
  <c r="AH22" i="2" s="1"/>
  <c r="AI22" i="2" s="1"/>
  <c r="AJ22" i="2" s="1"/>
  <c r="AK22" i="2" s="1"/>
  <c r="AL22" i="2" s="1"/>
  <c r="C22" i="2"/>
  <c r="B22" i="2"/>
  <c r="D21" i="2"/>
  <c r="C21" i="2"/>
  <c r="E21" i="2"/>
  <c r="F21" i="2"/>
  <c r="G21" i="2" s="1"/>
  <c r="H21" i="2" s="1"/>
  <c r="I21" i="2" s="1"/>
  <c r="J21" i="2" s="1"/>
  <c r="K21" i="2" s="1"/>
  <c r="L21" i="2" s="1"/>
  <c r="M21" i="2" s="1"/>
  <c r="N21" i="2" s="1"/>
  <c r="O21" i="2" s="1"/>
  <c r="P21" i="2" s="1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AA21" i="2" s="1"/>
  <c r="AB21" i="2" s="1"/>
  <c r="AC21" i="2" s="1"/>
  <c r="AD21" i="2" s="1"/>
  <c r="AE21" i="2" s="1"/>
  <c r="AF21" i="2" s="1"/>
  <c r="AG21" i="2" s="1"/>
  <c r="AH21" i="2" s="1"/>
  <c r="AI21" i="2" s="1"/>
  <c r="AJ21" i="2" s="1"/>
  <c r="AK21" i="2" s="1"/>
  <c r="AL21" i="2" s="1"/>
  <c r="B21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B18" i="2"/>
  <c r="C17" i="2"/>
  <c r="B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C16" i="2"/>
  <c r="D11" i="2"/>
  <c r="E11" i="2" s="1"/>
  <c r="C11" i="2"/>
  <c r="C12" i="2" s="1"/>
  <c r="B15" i="2"/>
  <c r="B12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B10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B9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C7" i="2"/>
  <c r="B44" i="1"/>
  <c r="B43" i="1"/>
  <c r="B34" i="9" s="1"/>
  <c r="B35" i="9" s="1"/>
  <c r="B31" i="1"/>
  <c r="E7" i="3" l="1"/>
  <c r="G7" i="3" s="1"/>
  <c r="C18" i="5"/>
  <c r="D18" i="5"/>
  <c r="D19" i="5" s="1"/>
  <c r="C9" i="3"/>
  <c r="E9" i="3" s="1"/>
  <c r="G9" i="3" s="1"/>
  <c r="B28" i="9" s="1"/>
  <c r="D28" i="9" s="1"/>
  <c r="D59" i="9" s="1"/>
  <c r="B11" i="4"/>
  <c r="B12" i="4"/>
  <c r="C23" i="4" s="1"/>
  <c r="D29" i="5"/>
  <c r="B24" i="9"/>
  <c r="B58" i="9" s="1"/>
  <c r="B8" i="4"/>
  <c r="B9" i="4" s="1"/>
  <c r="B34" i="5"/>
  <c r="E34" i="9"/>
  <c r="C34" i="9"/>
  <c r="D34" i="9"/>
  <c r="D20" i="9"/>
  <c r="B56" i="9"/>
  <c r="H23" i="4"/>
  <c r="D23" i="4"/>
  <c r="F23" i="4" s="1"/>
  <c r="D56" i="9"/>
  <c r="D35" i="9"/>
  <c r="D36" i="9" s="1"/>
  <c r="D24" i="9"/>
  <c r="E56" i="9"/>
  <c r="E20" i="9"/>
  <c r="E24" i="9"/>
  <c r="C35" i="9"/>
  <c r="C36" i="9" s="1"/>
  <c r="C24" i="9"/>
  <c r="C20" i="9"/>
  <c r="C56" i="9"/>
  <c r="B16" i="4"/>
  <c r="B14" i="4"/>
  <c r="E6" i="3"/>
  <c r="G6" i="3" s="1"/>
  <c r="B9" i="3"/>
  <c r="F11" i="2"/>
  <c r="E12" i="2"/>
  <c r="D12" i="2"/>
  <c r="D15" i="2" s="1" a="1"/>
  <c r="D15" i="2" s="1"/>
  <c r="C15" i="2" a="1"/>
  <c r="C15" i="2" s="1"/>
  <c r="C23" i="5" l="1"/>
  <c r="C29" i="5"/>
  <c r="C19" i="5"/>
  <c r="C25" i="5"/>
  <c r="K34" i="5"/>
  <c r="S34" i="5"/>
  <c r="AA34" i="5"/>
  <c r="AI34" i="5"/>
  <c r="D34" i="5"/>
  <c r="L34" i="5"/>
  <c r="T34" i="5"/>
  <c r="AB34" i="5"/>
  <c r="AJ34" i="5"/>
  <c r="E34" i="5"/>
  <c r="M34" i="5"/>
  <c r="U34" i="5"/>
  <c r="AC34" i="5"/>
  <c r="AK34" i="5"/>
  <c r="P34" i="5"/>
  <c r="AD34" i="5"/>
  <c r="F34" i="5"/>
  <c r="AE34" i="5"/>
  <c r="G34" i="5"/>
  <c r="R34" i="5"/>
  <c r="AF34" i="5"/>
  <c r="I34" i="5"/>
  <c r="W34" i="5"/>
  <c r="H34" i="5"/>
  <c r="V34" i="5"/>
  <c r="AG34" i="5"/>
  <c r="AH34" i="5"/>
  <c r="J34" i="5"/>
  <c r="X34" i="5"/>
  <c r="AL34" i="5"/>
  <c r="Q34" i="5"/>
  <c r="N34" i="5"/>
  <c r="Y34" i="5"/>
  <c r="C34" i="5"/>
  <c r="O34" i="5"/>
  <c r="Z34" i="5"/>
  <c r="E25" i="9"/>
  <c r="E58" i="9"/>
  <c r="E23" i="4"/>
  <c r="E28" i="9"/>
  <c r="B59" i="9"/>
  <c r="C28" i="9"/>
  <c r="C59" i="9" s="1"/>
  <c r="C58" i="9"/>
  <c r="C25" i="9"/>
  <c r="D58" i="9"/>
  <c r="D25" i="9"/>
  <c r="E15" i="2" a="1"/>
  <c r="E15" i="2" s="1"/>
  <c r="G11" i="2"/>
  <c r="F12" i="2"/>
  <c r="F15" i="2" s="1" a="1"/>
  <c r="F15" i="2" s="1"/>
  <c r="C20" i="5" l="1"/>
  <c r="C30" i="5"/>
  <c r="E59" i="9"/>
  <c r="E30" i="9"/>
  <c r="E29" i="9"/>
  <c r="E37" i="9" s="1"/>
  <c r="G23" i="4"/>
  <c r="J23" i="4"/>
  <c r="H11" i="2"/>
  <c r="G12" i="2"/>
  <c r="G15" i="2" s="1" a="1"/>
  <c r="G15" i="2" s="1"/>
  <c r="C33" i="5" l="1"/>
  <c r="D17" i="5"/>
  <c r="C35" i="5"/>
  <c r="C36" i="5"/>
  <c r="M23" i="4"/>
  <c r="I23" i="4"/>
  <c r="B24" i="4" s="1"/>
  <c r="B5" i="5"/>
  <c r="C37" i="5"/>
  <c r="B44" i="5" a="1"/>
  <c r="B44" i="5" s="1"/>
  <c r="I11" i="2"/>
  <c r="H12" i="2"/>
  <c r="H15" i="2" s="1" a="1"/>
  <c r="H15" i="2" s="1"/>
  <c r="D23" i="5" l="1"/>
  <c r="D25" i="5" s="1"/>
  <c r="E18" i="5"/>
  <c r="E19" i="5" s="1"/>
  <c r="E29" i="5" s="1"/>
  <c r="D28" i="5"/>
  <c r="D26" i="5"/>
  <c r="D30" i="5" s="1"/>
  <c r="L24" i="4"/>
  <c r="K24" i="4"/>
  <c r="C24" i="4"/>
  <c r="N23" i="4"/>
  <c r="D16" i="5"/>
  <c r="D20" i="5" s="1"/>
  <c r="J11" i="2"/>
  <c r="I12" i="2"/>
  <c r="I15" i="2" s="1" a="1"/>
  <c r="I15" i="2" s="1"/>
  <c r="D33" i="5" l="1"/>
  <c r="E17" i="5"/>
  <c r="D35" i="5"/>
  <c r="D36" i="5"/>
  <c r="D37" i="5"/>
  <c r="D24" i="4"/>
  <c r="H24" i="4"/>
  <c r="K11" i="2"/>
  <c r="J12" i="2"/>
  <c r="J15" i="2" s="1" a="1"/>
  <c r="J15" i="2" s="1"/>
  <c r="E28" i="5" l="1"/>
  <c r="E23" i="5"/>
  <c r="E26" i="5"/>
  <c r="F18" i="5"/>
  <c r="F24" i="4"/>
  <c r="E24" i="4"/>
  <c r="L11" i="2"/>
  <c r="K12" i="2"/>
  <c r="K15" i="2" s="1" a="1"/>
  <c r="K15" i="2" s="1"/>
  <c r="J24" i="4" l="1"/>
  <c r="G24" i="4"/>
  <c r="F19" i="5"/>
  <c r="E25" i="5"/>
  <c r="M11" i="2"/>
  <c r="L12" i="2"/>
  <c r="L15" i="2" s="1" a="1"/>
  <c r="L15" i="2" s="1"/>
  <c r="E30" i="5" l="1"/>
  <c r="B6" i="5"/>
  <c r="I24" i="4"/>
  <c r="B25" i="4" s="1"/>
  <c r="F29" i="5"/>
  <c r="M24" i="4"/>
  <c r="N11" i="2"/>
  <c r="M12" i="2"/>
  <c r="M15" i="2" s="1" a="1"/>
  <c r="M15" i="2" s="1"/>
  <c r="K25" i="4" l="1"/>
  <c r="C25" i="4"/>
  <c r="D25" i="4" s="1"/>
  <c r="L25" i="4"/>
  <c r="N24" i="4"/>
  <c r="E16" i="5"/>
  <c r="E20" i="5" s="1"/>
  <c r="E37" i="5"/>
  <c r="O11" i="2"/>
  <c r="N12" i="2"/>
  <c r="N15" i="2" s="1" a="1"/>
  <c r="N15" i="2" s="1"/>
  <c r="F17" i="5" l="1"/>
  <c r="E33" i="5"/>
  <c r="E35" i="5"/>
  <c r="E36" i="5"/>
  <c r="H25" i="4"/>
  <c r="B31" i="4" s="1"/>
  <c r="B30" i="4"/>
  <c r="F25" i="4"/>
  <c r="B29" i="4" s="1"/>
  <c r="C29" i="4" s="1"/>
  <c r="E25" i="4"/>
  <c r="P11" i="2"/>
  <c r="O12" i="2"/>
  <c r="O15" i="2" s="1" a="1"/>
  <c r="O15" i="2" s="1"/>
  <c r="J25" i="4" l="1"/>
  <c r="G25" i="4"/>
  <c r="F28" i="5"/>
  <c r="F23" i="5"/>
  <c r="F26" i="5"/>
  <c r="G18" i="5"/>
  <c r="C30" i="4"/>
  <c r="B32" i="4"/>
  <c r="C32" i="4" s="1"/>
  <c r="Q11" i="2"/>
  <c r="P12" i="2"/>
  <c r="P15" i="2" s="1" a="1"/>
  <c r="P15" i="2" s="1"/>
  <c r="G19" i="5" l="1"/>
  <c r="G29" i="5"/>
  <c r="F25" i="5"/>
  <c r="B7" i="5"/>
  <c r="I25" i="4"/>
  <c r="B28" i="4" s="1"/>
  <c r="C28" i="4" s="1"/>
  <c r="M25" i="4"/>
  <c r="B37" i="4"/>
  <c r="R11" i="2"/>
  <c r="Q12" i="2"/>
  <c r="Q15" i="2" s="1" a="1"/>
  <c r="Q15" i="2" s="1"/>
  <c r="N25" i="4" l="1"/>
  <c r="B38" i="4" s="1" a="1"/>
  <c r="B38" i="4" s="1"/>
  <c r="B35" i="4"/>
  <c r="B36" i="4" s="1"/>
  <c r="F30" i="5"/>
  <c r="K16" i="5"/>
  <c r="R16" i="5"/>
  <c r="F16" i="5"/>
  <c r="F20" i="5" s="1"/>
  <c r="U16" i="5"/>
  <c r="AE16" i="5"/>
  <c r="AK16" i="5"/>
  <c r="AC16" i="5"/>
  <c r="AJ16" i="5"/>
  <c r="M16" i="5"/>
  <c r="I16" i="5"/>
  <c r="Z16" i="5"/>
  <c r="Q16" i="5"/>
  <c r="AF16" i="5"/>
  <c r="J16" i="5"/>
  <c r="T16" i="5"/>
  <c r="P16" i="5"/>
  <c r="AG16" i="5"/>
  <c r="V16" i="5"/>
  <c r="AD16" i="5"/>
  <c r="AL16" i="5"/>
  <c r="AI16" i="5"/>
  <c r="N16" i="5"/>
  <c r="AA16" i="5"/>
  <c r="L16" i="5"/>
  <c r="H16" i="5"/>
  <c r="AB16" i="5"/>
  <c r="O16" i="5"/>
  <c r="S16" i="5"/>
  <c r="AH16" i="5"/>
  <c r="W16" i="5"/>
  <c r="X16" i="5"/>
  <c r="G16" i="5"/>
  <c r="Y16" i="5"/>
  <c r="B8" i="5"/>
  <c r="C8" i="5" s="1"/>
  <c r="S11" i="2"/>
  <c r="R12" i="2"/>
  <c r="R15" i="2" s="1" a="1"/>
  <c r="R15" i="2" s="1"/>
  <c r="F37" i="5" l="1"/>
  <c r="G17" i="5"/>
  <c r="F33" i="5"/>
  <c r="F35" i="5"/>
  <c r="F36" i="5"/>
  <c r="T11" i="2"/>
  <c r="S12" i="2"/>
  <c r="S15" i="2" s="1" a="1"/>
  <c r="S15" i="2" s="1"/>
  <c r="G26" i="5" l="1"/>
  <c r="G28" i="5"/>
  <c r="G23" i="5"/>
  <c r="G20" i="5"/>
  <c r="H18" i="5"/>
  <c r="U11" i="2"/>
  <c r="T12" i="2"/>
  <c r="T15" i="2" s="1" a="1"/>
  <c r="T15" i="2" s="1"/>
  <c r="H19" i="5" l="1"/>
  <c r="H17" i="5"/>
  <c r="G33" i="5"/>
  <c r="G36" i="5"/>
  <c r="G35" i="5"/>
  <c r="G25" i="5"/>
  <c r="V11" i="2"/>
  <c r="U12" i="2"/>
  <c r="U15" i="2" s="1" a="1"/>
  <c r="U15" i="2" s="1"/>
  <c r="H35" i="5" l="1"/>
  <c r="H29" i="5"/>
  <c r="G30" i="5"/>
  <c r="H26" i="5"/>
  <c r="H28" i="5"/>
  <c r="H23" i="5"/>
  <c r="H25" i="5" s="1"/>
  <c r="H30" i="5" s="1"/>
  <c r="H37" i="5" s="1"/>
  <c r="H20" i="5"/>
  <c r="I18" i="5"/>
  <c r="W11" i="2"/>
  <c r="V12" i="2"/>
  <c r="V15" i="2" s="1" a="1"/>
  <c r="V15" i="2" s="1"/>
  <c r="G37" i="5" l="1"/>
  <c r="I19" i="5"/>
  <c r="I17" i="5"/>
  <c r="H33" i="5"/>
  <c r="H36" i="5"/>
  <c r="X11" i="2"/>
  <c r="W12" i="2"/>
  <c r="W15" i="2" s="1" a="1"/>
  <c r="W15" i="2" s="1"/>
  <c r="I35" i="5" l="1"/>
  <c r="I26" i="5"/>
  <c r="I23" i="5"/>
  <c r="I25" i="5" s="1"/>
  <c r="I28" i="5"/>
  <c r="I20" i="5"/>
  <c r="J18" i="5"/>
  <c r="I29" i="5"/>
  <c r="I36" i="5" s="1"/>
  <c r="Y11" i="2"/>
  <c r="X12" i="2"/>
  <c r="X15" i="2" s="1" a="1"/>
  <c r="X15" i="2" s="1"/>
  <c r="I30" i="5" l="1"/>
  <c r="I37" i="5" s="1"/>
  <c r="J19" i="5"/>
  <c r="J29" i="5"/>
  <c r="J17" i="5"/>
  <c r="I33" i="5"/>
  <c r="Z11" i="2"/>
  <c r="Y12" i="2"/>
  <c r="Y15" i="2" s="1" a="1"/>
  <c r="Y15" i="2" s="1"/>
  <c r="J28" i="5" l="1"/>
  <c r="J26" i="5"/>
  <c r="J23" i="5"/>
  <c r="J25" i="5" s="1"/>
  <c r="J30" i="5" s="1"/>
  <c r="J37" i="5" s="1"/>
  <c r="K18" i="5"/>
  <c r="J20" i="5"/>
  <c r="J36" i="5" s="1"/>
  <c r="AA11" i="2"/>
  <c r="Z12" i="2"/>
  <c r="Z15" i="2" s="1" a="1"/>
  <c r="Z15" i="2" s="1"/>
  <c r="K17" i="5" l="1"/>
  <c r="J33" i="5"/>
  <c r="J35" i="5"/>
  <c r="K19" i="5"/>
  <c r="K29" i="5" s="1"/>
  <c r="AA12" i="2"/>
  <c r="AA15" i="2" s="1" a="1"/>
  <c r="AA15" i="2" s="1"/>
  <c r="AB11" i="2"/>
  <c r="K28" i="5" l="1"/>
  <c r="K26" i="5"/>
  <c r="K23" i="5"/>
  <c r="K25" i="5" s="1"/>
  <c r="K30" i="5" s="1"/>
  <c r="K37" i="5" s="1"/>
  <c r="K20" i="5"/>
  <c r="L18" i="5"/>
  <c r="AC11" i="2"/>
  <c r="AB12" i="2"/>
  <c r="AB15" i="2" s="1" a="1"/>
  <c r="AB15" i="2" s="1"/>
  <c r="L19" i="5" l="1"/>
  <c r="L29" i="5" s="1"/>
  <c r="L17" i="5"/>
  <c r="K33" i="5"/>
  <c r="K35" i="5"/>
  <c r="K36" i="5"/>
  <c r="AD11" i="2"/>
  <c r="AC12" i="2"/>
  <c r="AC15" i="2" s="1" a="1"/>
  <c r="AC15" i="2" s="1"/>
  <c r="L28" i="5" l="1"/>
  <c r="L26" i="5"/>
  <c r="L23" i="5"/>
  <c r="L25" i="5" s="1"/>
  <c r="L30" i="5" s="1"/>
  <c r="L37" i="5" s="1"/>
  <c r="L20" i="5"/>
  <c r="M18" i="5"/>
  <c r="AE11" i="2"/>
  <c r="AD12" i="2"/>
  <c r="AD15" i="2" s="1" a="1"/>
  <c r="AD15" i="2" s="1"/>
  <c r="M19" i="5" l="1"/>
  <c r="M29" i="5" s="1"/>
  <c r="M17" i="5"/>
  <c r="L33" i="5"/>
  <c r="L35" i="5"/>
  <c r="L36" i="5"/>
  <c r="AF11" i="2"/>
  <c r="AE12" i="2"/>
  <c r="AE15" i="2" s="1" a="1"/>
  <c r="AE15" i="2" s="1"/>
  <c r="M28" i="5" l="1"/>
  <c r="M23" i="5"/>
  <c r="M25" i="5" s="1"/>
  <c r="M26" i="5"/>
  <c r="M20" i="5"/>
  <c r="N18" i="5"/>
  <c r="AF12" i="2"/>
  <c r="AF15" i="2" s="1" a="1"/>
  <c r="AF15" i="2" s="1"/>
  <c r="AG11" i="2"/>
  <c r="N19" i="5" l="1"/>
  <c r="N29" i="5"/>
  <c r="N17" i="5"/>
  <c r="M35" i="5"/>
  <c r="M33" i="5"/>
  <c r="M30" i="5"/>
  <c r="M37" i="5" s="1"/>
  <c r="M36" i="5"/>
  <c r="AH11" i="2"/>
  <c r="AG12" i="2"/>
  <c r="AG15" i="2" s="1" a="1"/>
  <c r="AG15" i="2" s="1"/>
  <c r="N23" i="5" l="1"/>
  <c r="N26" i="5"/>
  <c r="B12" i="6" s="1"/>
  <c r="N28" i="5"/>
  <c r="B14" i="6" s="1"/>
  <c r="N20" i="5"/>
  <c r="O18" i="5"/>
  <c r="N36" i="5"/>
  <c r="B15" i="6"/>
  <c r="AI11" i="2"/>
  <c r="AH12" i="2"/>
  <c r="AH15" i="2" s="1" a="1"/>
  <c r="AH15" i="2" s="1"/>
  <c r="O19" i="5" l="1"/>
  <c r="O29" i="5"/>
  <c r="O17" i="5"/>
  <c r="N35" i="5"/>
  <c r="N33" i="5"/>
  <c r="B16" i="6"/>
  <c r="N25" i="5"/>
  <c r="N30" i="5" s="1"/>
  <c r="N37" i="5" s="1"/>
  <c r="B7" i="6"/>
  <c r="AJ11" i="2"/>
  <c r="AI12" i="2"/>
  <c r="AI15" i="2" s="1" a="1"/>
  <c r="AI15" i="2" s="1"/>
  <c r="B9" i="6" l="1"/>
  <c r="O28" i="5"/>
  <c r="O23" i="5"/>
  <c r="O26" i="5"/>
  <c r="O20" i="5"/>
  <c r="P18" i="5"/>
  <c r="B15" i="7"/>
  <c r="B24" i="6"/>
  <c r="AK11" i="2"/>
  <c r="AJ12" i="2"/>
  <c r="AJ15" i="2" s="1" a="1"/>
  <c r="AJ15" i="2" s="1"/>
  <c r="P19" i="5" l="1"/>
  <c r="P29" i="5"/>
  <c r="O25" i="5"/>
  <c r="O30" i="5" s="1"/>
  <c r="O37" i="5" s="1"/>
  <c r="P17" i="5"/>
  <c r="O33" i="5"/>
  <c r="B14" i="7"/>
  <c r="B18" i="6"/>
  <c r="O36" i="5"/>
  <c r="O35" i="5"/>
  <c r="AL11" i="2"/>
  <c r="AL12" i="2" s="1"/>
  <c r="AL15" i="2" s="1" a="1"/>
  <c r="AL15" i="2" s="1"/>
  <c r="AK12" i="2"/>
  <c r="AK15" i="2" s="1" a="1"/>
  <c r="AK15" i="2" s="1"/>
  <c r="B19" i="6" l="1"/>
  <c r="B20" i="6" s="1"/>
  <c r="B16" i="7"/>
  <c r="P28" i="5"/>
  <c r="P23" i="5"/>
  <c r="P26" i="5"/>
  <c r="P20" i="5"/>
  <c r="Q18" i="5"/>
  <c r="B25" i="6" l="1"/>
  <c r="B23" i="6"/>
  <c r="B18" i="7" s="1"/>
  <c r="B17" i="7"/>
  <c r="B31" i="7" s="1"/>
  <c r="P25" i="5"/>
  <c r="P30" i="5" s="1"/>
  <c r="P37" i="5" s="1"/>
  <c r="Q19" i="5"/>
  <c r="Q29" i="5" s="1"/>
  <c r="C50" i="7"/>
  <c r="D50" i="7"/>
  <c r="Q17" i="5"/>
  <c r="P33" i="5"/>
  <c r="P35" i="5"/>
  <c r="P36" i="5"/>
  <c r="Q28" i="5" l="1"/>
  <c r="Q23" i="5"/>
  <c r="Q26" i="5"/>
  <c r="R18" i="5"/>
  <c r="Q20" i="5"/>
  <c r="Q35" i="5" s="1"/>
  <c r="R17" i="5" l="1"/>
  <c r="Q33" i="5"/>
  <c r="R19" i="5"/>
  <c r="Q25" i="5"/>
  <c r="Q30" i="5" s="1"/>
  <c r="Q37" i="5" s="1"/>
  <c r="Q36" i="5"/>
  <c r="R29" i="5" l="1"/>
  <c r="R28" i="5"/>
  <c r="R26" i="5"/>
  <c r="R23" i="5"/>
  <c r="S18" i="5"/>
  <c r="R20" i="5"/>
  <c r="R25" i="5" l="1"/>
  <c r="R30" i="5" s="1"/>
  <c r="R37" i="5" s="1"/>
  <c r="S17" i="5"/>
  <c r="R33" i="5"/>
  <c r="S19" i="5"/>
  <c r="R36" i="5"/>
  <c r="R35" i="5"/>
  <c r="S28" i="5" l="1"/>
  <c r="S26" i="5"/>
  <c r="S23" i="5"/>
  <c r="T18" i="5"/>
  <c r="S20" i="5"/>
  <c r="S29" i="5"/>
  <c r="S36" i="5" l="1"/>
  <c r="S25" i="5"/>
  <c r="S30" i="5" s="1"/>
  <c r="S37" i="5" s="1"/>
  <c r="T17" i="5"/>
  <c r="S33" i="5"/>
  <c r="T19" i="5"/>
  <c r="T29" i="5" s="1"/>
  <c r="S35" i="5"/>
  <c r="T28" i="5" l="1"/>
  <c r="T26" i="5"/>
  <c r="T23" i="5"/>
  <c r="T25" i="5" s="1"/>
  <c r="T20" i="5"/>
  <c r="U18" i="5"/>
  <c r="T30" i="5" l="1"/>
  <c r="T37" i="5" s="1"/>
  <c r="U19" i="5"/>
  <c r="U29" i="5"/>
  <c r="U17" i="5"/>
  <c r="T33" i="5"/>
  <c r="T35" i="5"/>
  <c r="T36" i="5"/>
  <c r="U26" i="5" l="1"/>
  <c r="U28" i="5"/>
  <c r="U23" i="5"/>
  <c r="U25" i="5" s="1"/>
  <c r="U30" i="5" s="1"/>
  <c r="U37" i="5" s="1"/>
  <c r="U20" i="5"/>
  <c r="V18" i="5"/>
  <c r="V19" i="5" l="1"/>
  <c r="V29" i="5"/>
  <c r="V17" i="5"/>
  <c r="U33" i="5"/>
  <c r="U35" i="5"/>
  <c r="U36" i="5"/>
  <c r="V26" i="5" l="1"/>
  <c r="V28" i="5"/>
  <c r="V23" i="5"/>
  <c r="V25" i="5" s="1"/>
  <c r="V30" i="5" s="1"/>
  <c r="V37" i="5" s="1"/>
  <c r="V20" i="5"/>
  <c r="W18" i="5"/>
  <c r="V36" i="5"/>
  <c r="W17" i="5" l="1"/>
  <c r="V33" i="5"/>
  <c r="V35" i="5"/>
  <c r="W19" i="5"/>
  <c r="W29" i="5"/>
  <c r="W26" i="5" l="1"/>
  <c r="W28" i="5"/>
  <c r="W23" i="5"/>
  <c r="W25" i="5" s="1"/>
  <c r="W30" i="5" s="1"/>
  <c r="W37" i="5" s="1"/>
  <c r="W20" i="5"/>
  <c r="X18" i="5"/>
  <c r="X19" i="5" l="1"/>
  <c r="X29" i="5"/>
  <c r="X17" i="5"/>
  <c r="W33" i="5"/>
  <c r="W36" i="5"/>
  <c r="W35" i="5"/>
  <c r="X28" i="5" l="1"/>
  <c r="X23" i="5"/>
  <c r="X25" i="5" s="1"/>
  <c r="X26" i="5"/>
  <c r="Y18" i="5"/>
  <c r="X20" i="5"/>
  <c r="X36" i="5"/>
  <c r="Y19" i="5" l="1"/>
  <c r="Y29" i="5"/>
  <c r="Y17" i="5"/>
  <c r="X33" i="5"/>
  <c r="X35" i="5"/>
  <c r="X30" i="5"/>
  <c r="X37" i="5" s="1"/>
  <c r="Y28" i="5" l="1"/>
  <c r="Y26" i="5"/>
  <c r="Y23" i="5"/>
  <c r="Y25" i="5" s="1"/>
  <c r="Y30" i="5" s="1"/>
  <c r="Y37" i="5" s="1"/>
  <c r="Z18" i="5"/>
  <c r="Y20" i="5"/>
  <c r="Z17" i="5" l="1"/>
  <c r="Y35" i="5"/>
  <c r="Y33" i="5"/>
  <c r="Z19" i="5"/>
  <c r="Z29" i="5" s="1"/>
  <c r="Y36" i="5"/>
  <c r="C15" i="6" l="1"/>
  <c r="Z28" i="5"/>
  <c r="C14" i="6" s="1"/>
  <c r="Z26" i="5"/>
  <c r="C12" i="6" s="1"/>
  <c r="Z23" i="5"/>
  <c r="AA18" i="5"/>
  <c r="Z20" i="5"/>
  <c r="AA17" i="5" l="1"/>
  <c r="Z33" i="5"/>
  <c r="Z35" i="5"/>
  <c r="AA19" i="5"/>
  <c r="AA29" i="5" s="1"/>
  <c r="Z25" i="5"/>
  <c r="Z30" i="5" s="1"/>
  <c r="Z37" i="5" s="1"/>
  <c r="C7" i="6"/>
  <c r="C16" i="6"/>
  <c r="Z36" i="5"/>
  <c r="C15" i="7" l="1"/>
  <c r="C9" i="6"/>
  <c r="AA28" i="5"/>
  <c r="AA26" i="5"/>
  <c r="AA23" i="5"/>
  <c r="AB18" i="5"/>
  <c r="AA20" i="5"/>
  <c r="AA35" i="5" s="1"/>
  <c r="C18" i="6" l="1"/>
  <c r="C14" i="7"/>
  <c r="AB19" i="5"/>
  <c r="AB29" i="5"/>
  <c r="C24" i="6"/>
  <c r="AB17" i="5"/>
  <c r="AA33" i="5"/>
  <c r="AA25" i="5"/>
  <c r="AA30" i="5" s="1"/>
  <c r="AA37" i="5" s="1"/>
  <c r="AA36" i="5"/>
  <c r="AB28" i="5" l="1"/>
  <c r="AB26" i="5"/>
  <c r="AB23" i="5"/>
  <c r="AB20" i="5"/>
  <c r="AC18" i="5"/>
  <c r="C16" i="7"/>
  <c r="C19" i="6"/>
  <c r="C20" i="6" s="1"/>
  <c r="C25" i="6" l="1"/>
  <c r="C23" i="6"/>
  <c r="C18" i="7" s="1"/>
  <c r="C17" i="7"/>
  <c r="B32" i="7" s="1"/>
  <c r="AC19" i="5"/>
  <c r="AC29" i="5"/>
  <c r="AC17" i="5"/>
  <c r="AB35" i="5"/>
  <c r="AB33" i="5"/>
  <c r="AB25" i="5"/>
  <c r="AB30" i="5" s="1"/>
  <c r="AB37" i="5" s="1"/>
  <c r="AB36" i="5"/>
  <c r="AC28" i="5" l="1"/>
  <c r="AC23" i="5"/>
  <c r="AC26" i="5"/>
  <c r="AD18" i="5"/>
  <c r="AC20" i="5"/>
  <c r="AC36" i="5" s="1"/>
  <c r="AC25" i="5" l="1"/>
  <c r="AC30" i="5" s="1"/>
  <c r="AC37" i="5" s="1"/>
  <c r="AD19" i="5"/>
  <c r="AD29" i="5" s="1"/>
  <c r="AD17" i="5"/>
  <c r="AC33" i="5"/>
  <c r="AC35" i="5"/>
  <c r="AD28" i="5" l="1"/>
  <c r="AD23" i="5"/>
  <c r="AD26" i="5"/>
  <c r="AD20" i="5"/>
  <c r="AE18" i="5"/>
  <c r="AD35" i="5"/>
  <c r="AE17" i="5" l="1"/>
  <c r="AD33" i="5"/>
  <c r="AE19" i="5"/>
  <c r="AE29" i="5"/>
  <c r="AD25" i="5"/>
  <c r="AD30" i="5" s="1"/>
  <c r="AD37" i="5" s="1"/>
  <c r="AD36" i="5"/>
  <c r="AE28" i="5" l="1"/>
  <c r="AE23" i="5"/>
  <c r="AE26" i="5"/>
  <c r="AE20" i="5"/>
  <c r="AF18" i="5"/>
  <c r="AF19" i="5" l="1"/>
  <c r="AF29" i="5"/>
  <c r="AE25" i="5"/>
  <c r="AE30" i="5" s="1"/>
  <c r="AE37" i="5" s="1"/>
  <c r="AF17" i="5"/>
  <c r="AE33" i="5"/>
  <c r="AE36" i="5"/>
  <c r="AE35" i="5"/>
  <c r="AF26" i="5" l="1"/>
  <c r="AF28" i="5"/>
  <c r="AF23" i="5"/>
  <c r="AF25" i="5" s="1"/>
  <c r="AF30" i="5" s="1"/>
  <c r="AF37" i="5" s="1"/>
  <c r="AG18" i="5"/>
  <c r="AF20" i="5"/>
  <c r="AF36" i="5"/>
  <c r="AG19" i="5" l="1"/>
  <c r="AG29" i="5"/>
  <c r="AG17" i="5"/>
  <c r="AF33" i="5"/>
  <c r="AF35" i="5"/>
  <c r="AG28" i="5" l="1"/>
  <c r="AG23" i="5"/>
  <c r="AG25" i="5" s="1"/>
  <c r="AG26" i="5"/>
  <c r="AH18" i="5"/>
  <c r="AG20" i="5"/>
  <c r="AG36" i="5"/>
  <c r="AH19" i="5" l="1"/>
  <c r="AH29" i="5"/>
  <c r="AH17" i="5"/>
  <c r="AG33" i="5"/>
  <c r="AG35" i="5"/>
  <c r="AG30" i="5"/>
  <c r="AG37" i="5" s="1"/>
  <c r="AH28" i="5" l="1"/>
  <c r="AH26" i="5"/>
  <c r="AH23" i="5"/>
  <c r="AH25" i="5" s="1"/>
  <c r="AH30" i="5" s="1"/>
  <c r="AH37" i="5" s="1"/>
  <c r="AI18" i="5"/>
  <c r="AH20" i="5"/>
  <c r="AI17" i="5" l="1"/>
  <c r="AH33" i="5"/>
  <c r="AH35" i="5"/>
  <c r="AI19" i="5"/>
  <c r="AI29" i="5" s="1"/>
  <c r="AH36" i="5"/>
  <c r="AI28" i="5" l="1"/>
  <c r="AI26" i="5"/>
  <c r="AI23" i="5"/>
  <c r="AI25" i="5" s="1"/>
  <c r="AI30" i="5" s="1"/>
  <c r="AI37" i="5" s="1"/>
  <c r="AI20" i="5"/>
  <c r="AJ18" i="5"/>
  <c r="AJ19" i="5" l="1"/>
  <c r="AJ29" i="5"/>
  <c r="AJ17" i="5"/>
  <c r="AI35" i="5"/>
  <c r="AI33" i="5"/>
  <c r="AI36" i="5"/>
  <c r="AJ28" i="5" l="1"/>
  <c r="AJ26" i="5"/>
  <c r="AJ23" i="5"/>
  <c r="AJ25" i="5" s="1"/>
  <c r="AJ30" i="5" s="1"/>
  <c r="AJ37" i="5" s="1"/>
  <c r="AK18" i="5"/>
  <c r="AJ20" i="5"/>
  <c r="AK17" i="5" l="1"/>
  <c r="AJ33" i="5"/>
  <c r="AJ35" i="5"/>
  <c r="AK19" i="5"/>
  <c r="AK29" i="5" s="1"/>
  <c r="AJ36" i="5"/>
  <c r="AK26" i="5" l="1"/>
  <c r="AK23" i="5"/>
  <c r="AK25" i="5" s="1"/>
  <c r="AK28" i="5"/>
  <c r="AK20" i="5"/>
  <c r="AL18" i="5"/>
  <c r="AK30" i="5" l="1"/>
  <c r="AK37" i="5" s="1"/>
  <c r="AL19" i="5"/>
  <c r="AL29" i="5"/>
  <c r="AL17" i="5"/>
  <c r="AK33" i="5"/>
  <c r="AK35" i="5"/>
  <c r="AK36" i="5"/>
  <c r="AL28" i="5" l="1"/>
  <c r="D14" i="6" s="1"/>
  <c r="E14" i="6" s="1"/>
  <c r="AL23" i="5"/>
  <c r="AL26" i="5"/>
  <c r="D12" i="6" s="1"/>
  <c r="AL20" i="5"/>
  <c r="D15" i="6"/>
  <c r="E15" i="6" s="1"/>
  <c r="B40" i="5" l="1"/>
  <c r="B41" i="5"/>
  <c r="AL35" i="5"/>
  <c r="AL33" i="5"/>
  <c r="C49" i="7" s="1"/>
  <c r="D49" i="7" s="1"/>
  <c r="AL36" i="5"/>
  <c r="AL25" i="5"/>
  <c r="D7" i="6"/>
  <c r="D16" i="6"/>
  <c r="E12" i="6"/>
  <c r="E16" i="6" s="1"/>
  <c r="D15" i="7" l="1"/>
  <c r="D9" i="6"/>
  <c r="E7" i="6"/>
  <c r="E9" i="6" s="1"/>
  <c r="AL30" i="5"/>
  <c r="B42" i="5"/>
  <c r="E24" i="6"/>
  <c r="E15" i="7"/>
  <c r="B6" i="7"/>
  <c r="C40" i="5"/>
  <c r="AL37" i="5" l="1"/>
  <c r="B43" i="5"/>
  <c r="C43" i="5" s="1"/>
  <c r="D18" i="6"/>
  <c r="D14" i="7"/>
  <c r="E14" i="7"/>
  <c r="E18" i="6"/>
  <c r="B7" i="7"/>
  <c r="B30" i="7" s="1"/>
  <c r="B8" i="7"/>
  <c r="D24" i="6"/>
  <c r="B39" i="7" l="1"/>
  <c r="B9" i="7"/>
  <c r="B10" i="7" s="1"/>
  <c r="B24" i="7"/>
  <c r="E19" i="6"/>
  <c r="E20" i="6" s="1"/>
  <c r="E16" i="7"/>
  <c r="B21" i="7"/>
  <c r="B23" i="7" s="1"/>
  <c r="D16" i="7"/>
  <c r="D19" i="6"/>
  <c r="D20" i="6" s="1"/>
  <c r="D17" i="7" l="1"/>
  <c r="D23" i="6"/>
  <c r="D18" i="7" s="1"/>
  <c r="D25" i="6"/>
  <c r="E23" i="6"/>
  <c r="E17" i="7"/>
  <c r="E18" i="7" s="1"/>
  <c r="D48" i="7"/>
  <c r="C48" i="7"/>
  <c r="B25" i="7"/>
  <c r="B40" i="7" s="1"/>
  <c r="B33" i="7" l="1"/>
  <c r="B38" i="7" l="1"/>
  <c r="B36" i="7"/>
  <c r="B41" i="7"/>
  <c r="D45" i="7" l="1"/>
  <c r="C45" i="7"/>
  <c r="B38" i="9"/>
  <c r="B37" i="7"/>
  <c r="E43" i="9"/>
  <c r="D43" i="9"/>
  <c r="D47" i="7"/>
  <c r="C43" i="9"/>
  <c r="B43" i="9"/>
  <c r="C47" i="7"/>
  <c r="B40" i="9" l="1"/>
  <c r="D46" i="7"/>
  <c r="C46" i="7"/>
  <c r="E49" i="9"/>
  <c r="E62" i="9"/>
  <c r="B46" i="9"/>
  <c r="E38" i="9"/>
  <c r="D38" i="9"/>
  <c r="C38" i="9"/>
  <c r="B60" i="9"/>
  <c r="B47" i="9"/>
  <c r="C62" i="9"/>
  <c r="C49" i="9"/>
  <c r="D62" i="9"/>
  <c r="D49" i="9"/>
  <c r="B49" i="9"/>
  <c r="B62" i="9"/>
  <c r="B53" i="7"/>
  <c r="B52" i="7"/>
  <c r="B54" i="7"/>
  <c r="D47" i="9" l="1"/>
  <c r="D50" i="9" s="1"/>
  <c r="D63" i="9" s="1"/>
  <c r="D40" i="9"/>
  <c r="D46" i="9"/>
  <c r="D39" i="9"/>
  <c r="D60" i="9"/>
  <c r="E40" i="9"/>
  <c r="E47" i="9"/>
  <c r="E46" i="9"/>
  <c r="E60" i="9"/>
  <c r="E39" i="9"/>
  <c r="C39" i="9"/>
  <c r="C60" i="9"/>
  <c r="C47" i="9"/>
  <c r="C46" i="9"/>
  <c r="C40" i="9"/>
  <c r="B48" i="9"/>
  <c r="B50" i="9" s="1"/>
  <c r="B63" i="9" s="1"/>
  <c r="B61" i="9"/>
  <c r="E61" i="9" l="1"/>
  <c r="E48" i="9"/>
  <c r="E50" i="9" s="1"/>
  <c r="E63" i="9" s="1"/>
  <c r="C61" i="9"/>
  <c r="C48" i="9"/>
  <c r="C50" i="9" s="1"/>
  <c r="C63" i="9" s="1"/>
  <c r="D61" i="9"/>
  <c r="D4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<sst xmlns="http://schemas.openxmlformats.org/spreadsheetml/2006/main" count="478" uniqueCount="388">
  <si>
    <t>KENYA DIGITAL LENDING — INVESTMENT MODEL</t>
  </si>
  <si>
    <t>Assumptions Sheet — All inputs reference this sheet</t>
  </si>
  <si>
    <t>Last updated: February 2026</t>
  </si>
  <si>
    <t>BLOCK 1 — CAPITAL AND FUNDING STRUCTURE</t>
  </si>
  <si>
    <t>cost_of_debt_annual</t>
  </si>
  <si>
    <t>% decimal</t>
  </si>
  <si>
    <t>CBK avarage lending rate 2025</t>
  </si>
  <si>
    <t>equity_required_ratio</t>
  </si>
  <si>
    <t>30% equity 70% debt structure</t>
  </si>
  <si>
    <t>Initial facility assumption</t>
  </si>
  <si>
    <t>KES Millions</t>
  </si>
  <si>
    <t>warehouse_facility_limit_kes_m</t>
  </si>
  <si>
    <t>servicing_fee_pct</t>
  </si>
  <si>
    <t>2% of loan</t>
  </si>
  <si>
    <t>Kenya corporate tax rate</t>
  </si>
  <si>
    <t>target_IRR</t>
  </si>
  <si>
    <t>exit_multiple_editda</t>
  </si>
  <si>
    <t>X</t>
  </si>
  <si>
    <t>Digital lender comparable exits</t>
  </si>
  <si>
    <t>Minimum PE hurdle rate</t>
  </si>
  <si>
    <t>tax_rate</t>
  </si>
  <si>
    <t>BLOCK 2 — PRODUCT DESIGN</t>
  </si>
  <si>
    <t>avg_loan_size_kes</t>
  </si>
  <si>
    <t>KES</t>
  </si>
  <si>
    <t>FinAccess 2021 median digital loan</t>
  </si>
  <si>
    <t>Regulatory minimum</t>
  </si>
  <si>
    <t>min_loan_size_kes</t>
  </si>
  <si>
    <t>max_loan_size_kes</t>
  </si>
  <si>
    <t>Risk appetite ceiling</t>
  </si>
  <si>
    <t>Short term consumer digital lending</t>
  </si>
  <si>
    <t>Months</t>
  </si>
  <si>
    <t>avg_term_months</t>
  </si>
  <si>
    <t>grace_period_days</t>
  </si>
  <si>
    <t>Days</t>
  </si>
  <si>
    <t>Industry standard</t>
  </si>
  <si>
    <t>6% origination fee</t>
  </si>
  <si>
    <t>origination_fee_pct</t>
  </si>
  <si>
    <t>late_fee_pct</t>
  </si>
  <si>
    <t>1% per week late</t>
  </si>
  <si>
    <t>Field collection estimate</t>
  </si>
  <si>
    <t>collection_cost_per_default_kes</t>
  </si>
  <si>
    <t>BLOCK 3 — GROWTH ENGINE</t>
  </si>
  <si>
    <t>monthly_customer_growth_rate</t>
  </si>
  <si>
    <t>8% MoM in ramp phase</t>
  </si>
  <si>
    <t>55% of applicants approved</t>
  </si>
  <si>
    <t>approval_rate</t>
  </si>
  <si>
    <t>repeat_borrow_rate</t>
  </si>
  <si>
    <t>65% repeat within 90 days</t>
  </si>
  <si>
    <t>12% annual churn</t>
  </si>
  <si>
    <t>churn_rate</t>
  </si>
  <si>
    <t>CAC_paid_kes</t>
  </si>
  <si>
    <t>Paid digital acquisition cost</t>
  </si>
  <si>
    <t>Organic referral cost</t>
  </si>
  <si>
    <t>CAC_organic_kes</t>
  </si>
  <si>
    <t>CAC_blended_kes</t>
  </si>
  <si>
    <t>See formula in cell B31</t>
  </si>
  <si>
    <t>BLOCK 4 — CREDIT RISK PARAMETERS</t>
  </si>
  <si>
    <t>These will be updated when Python risk model outputs are complete.                   Current values are calibrated estimates based on CBK NPL data</t>
  </si>
  <si>
    <t>PD_prime</t>
  </si>
  <si>
    <t>Calibrated to CBK NPL-prime segment</t>
  </si>
  <si>
    <t>Calibrated to CBK NPL-near prime</t>
  </si>
  <si>
    <t>PD_nearprime</t>
  </si>
  <si>
    <t>PD_subprime</t>
  </si>
  <si>
    <t>Calobrated to CBK NPL-subprime</t>
  </si>
  <si>
    <t>35% loss given default-Prime</t>
  </si>
  <si>
    <t>LGD_prime</t>
  </si>
  <si>
    <t>LGD_nearprime</t>
  </si>
  <si>
    <t>45% loss given default-near prime</t>
  </si>
  <si>
    <t>60% loss given default - subprime</t>
  </si>
  <si>
    <t>LGD_subprime</t>
  </si>
  <si>
    <t>portfolio_share_prime</t>
  </si>
  <si>
    <t>35% of portfolio - prime</t>
  </si>
  <si>
    <t>45% of portfolio - near prime</t>
  </si>
  <si>
    <t>portfolio_share_nearprime</t>
  </si>
  <si>
    <t>portfolio_share_subprime</t>
  </si>
  <si>
    <t>20% of portfolio - subprime</t>
  </si>
  <si>
    <t>portfolio_weighted_PD</t>
  </si>
  <si>
    <t>Weighted avg across segments</t>
  </si>
  <si>
    <t>portfolio_weighted_LGD</t>
  </si>
  <si>
    <t>BLOCK 5 — MACRO STRESS SENSITIVITIES</t>
  </si>
  <si>
    <t>Elasticities derived from CBK NPL vs macro historical correlations.                                    These feed the stress test sheet automatically</t>
  </si>
  <si>
    <t>unemployment_PD_elasticity</t>
  </si>
  <si>
    <t>x per 1pp change</t>
  </si>
  <si>
    <t>1pp unemployment=18% PD increase</t>
  </si>
  <si>
    <t>1pp inflation = 8% PD increase</t>
  </si>
  <si>
    <t>inflation_PD_elasticity</t>
  </si>
  <si>
    <t>rake_hike_PD_elasticity</t>
  </si>
  <si>
    <t>1pp rate rise = 12% PD increase</t>
  </si>
  <si>
    <t>LGD increases 10pp in recession</t>
  </si>
  <si>
    <t>LGD_recession_uplift</t>
  </si>
  <si>
    <t>MARKET MODEL — Borrower Acquisition and Loan Demand Projection</t>
  </si>
  <si>
    <t>36 Month Rolling Forecast | Base Case</t>
  </si>
  <si>
    <t>Month 0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</si>
  <si>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</si>
  <si>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</si>
  <si>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</si>
  <si>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</si>
  <si>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</si>
  <si>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</si>
  <si>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</si>
  <si>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</si>
  <si>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</si>
  <si>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</si>
  <si>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</si>
  <si>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</si>
  <si>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</si>
  <si>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</si>
  <si>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</si>
  <si>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</si>
  <si>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</si>
  <si>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</si>
  <si>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</si>
  <si>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</si>
  <si>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</si>
  <si>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</si>
  <si>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</si>
  <si>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</si>
  <si>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</si>
  <si>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</si>
  <si>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</si>
  <si>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</si>
  <si>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</si>
  <si>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</si>
  <si>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</si>
  <si>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</si>
  <si>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</si>
  <si>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</si>
  <si>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</si>
  <si>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</si>
  <si>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Metric</t>
  </si>
  <si>
    <t>— POPULATION FUNNEL —</t>
  </si>
  <si>
    <t>adult_population_2026</t>
  </si>
  <si>
    <t>mpesa_penetration_rate</t>
  </si>
  <si>
    <t>digitally_reachable</t>
  </si>
  <si>
    <t>addressable_approved_pool</t>
  </si>
  <si>
    <t>market_share_pct</t>
  </si>
  <si>
    <t>active_borrowers</t>
  </si>
  <si>
    <t>— LOAN ORIGINATION —</t>
  </si>
  <si>
    <t>new_borrowers</t>
  </si>
  <si>
    <t>repeat_borrowers</t>
  </si>
  <si>
    <t>loans_originated</t>
  </si>
  <si>
    <t>principal_originated_kes</t>
  </si>
  <si>
    <t>— CUMULATIVE SUMMARY —</t>
  </si>
  <si>
    <t>cumulative_loans_issued</t>
  </si>
  <si>
    <t>cumulative_principal_kes_m</t>
  </si>
  <si>
    <t>RISK SEGMENTATION — Python Model Outputs</t>
  </si>
  <si>
    <t>segment</t>
  </si>
  <si>
    <t>Source: notebooks/03_borrower_risk_model.ipynb
Last updated: February 2026</t>
  </si>
  <si>
    <t>portfolio share</t>
  </si>
  <si>
    <t>PD</t>
  </si>
  <si>
    <t>LGD</t>
  </si>
  <si>
    <t>expected_loss</t>
  </si>
  <si>
    <t>avg_loan_size_multiplier</t>
  </si>
  <si>
    <t>recommended_APR</t>
  </si>
  <si>
    <t>Prime</t>
  </si>
  <si>
    <t>Near Prime</t>
  </si>
  <si>
    <t>Subprime</t>
  </si>
  <si>
    <t>PORTFOLIO WEIGHTED</t>
  </si>
  <si>
    <t>LOAN CASHFLOW ENGINE — Single Cohort Model</t>
  </si>
  <si>
    <t>COHORT INPUTS</t>
  </si>
  <si>
    <t>cohort_loan_count</t>
  </si>
  <si>
    <t>principal_total_kes</t>
  </si>
  <si>
    <t>term_months</t>
  </si>
  <si>
    <t>PD_monthly</t>
  </si>
  <si>
    <t>month</t>
  </si>
  <si>
    <t>opening_balance</t>
  </si>
  <si>
    <t>scheduled_payment</t>
  </si>
  <si>
    <t>net_cashflow</t>
  </si>
  <si>
    <t>servicing_cost</t>
  </si>
  <si>
    <t>funding_cost</t>
  </si>
  <si>
    <t>cumulative_net</t>
  </si>
  <si>
    <t>Models one cohort from origination through full repayment or default</t>
  </si>
  <si>
    <t>APR_charged_to_borrower</t>
  </si>
  <si>
    <t>monthly_rate_borrower</t>
  </si>
  <si>
    <t>origination_fee_income_kes</t>
  </si>
  <si>
    <t>funding_rate_annual</t>
  </si>
  <si>
    <t>PD_annual</t>
  </si>
  <si>
    <t>funding_rate_monthly</t>
  </si>
  <si>
    <t>servicing_rate_monthly</t>
  </si>
  <si>
    <t>LOGIC: Each month — defaults removed from opening balance first. Payment calculated on performing balance only. Closing = performing balance minus principal repaid. Funding cost charged on full opening balance.</t>
  </si>
  <si>
    <t>defaults</t>
  </si>
  <si>
    <t>performing_balance</t>
  </si>
  <si>
    <t>interest_income</t>
  </si>
  <si>
    <t>principal_repaid</t>
  </si>
  <si>
    <t>recoveries</t>
  </si>
  <si>
    <t>closing balance</t>
  </si>
  <si>
    <t>gross_revenue</t>
  </si>
  <si>
    <t>VERIFICATION CHECKS</t>
  </si>
  <si>
    <t>closing_balance_month3</t>
  </si>
  <si>
    <t>total_interest_income</t>
  </si>
  <si>
    <t>total_defaults_kes</t>
  </si>
  <si>
    <t>total_recoveries_kes</t>
  </si>
  <si>
    <t>net_credit_loss_kes</t>
  </si>
  <si>
    <t>COHORT RETURNS</t>
  </si>
  <si>
    <t>cohort_IRR_monthly</t>
  </si>
  <si>
    <t>cohort_IRR_annual</t>
  </si>
  <si>
    <t>cohort_MOIC</t>
  </si>
  <si>
    <t>payback_in_months</t>
  </si>
  <si>
    <t>COHORT REPAYMENT RATIOS — from LOAN_CASHFLOWS</t>
  </si>
  <si>
    <t>principal_repaid_month1_ratio</t>
  </si>
  <si>
    <t>principal_repaid_month2_ratio</t>
  </si>
  <si>
    <t>principal_repaid_month3_ratio</t>
  </si>
  <si>
    <t>total_repayment_ratio_check</t>
  </si>
  <si>
    <t>ORIGINATION REFERENCE ROW — KES Millions</t>
  </si>
  <si>
    <t>new_originations_kes_m</t>
  </si>
  <si>
    <t>scheduled_repayments_kes_m</t>
  </si>
  <si>
    <t>defaults_kes_m</t>
  </si>
  <si>
    <t>opening_loanbook_kes_m</t>
  </si>
  <si>
    <t>recoveries_kes_m</t>
  </si>
  <si>
    <t>closing_loanbook_kes_m</t>
  </si>
  <si>
    <t>— MONTHLY REVENUE AND COSTS —</t>
  </si>
  <si>
    <t>interest_income_kes_m</t>
  </si>
  <si>
    <t>origination_fee_income_kes_m</t>
  </si>
  <si>
    <t>total_revenue_kes_m</t>
  </si>
  <si>
    <t>funding_cost_kes_m</t>
  </si>
  <si>
    <t>CAC_total_kes_m</t>
  </si>
  <si>
    <t>servicing_cost_kes_m</t>
  </si>
  <si>
    <t>net_credit_loss_kes_m</t>
  </si>
  <si>
    <t>net_contribution_kes_m</t>
  </si>
  <si>
    <t>— PORTFOLIO HEALTH METRICS —</t>
  </si>
  <si>
    <t>npl_ratio_pct</t>
  </si>
  <si>
    <t>portfolio_yield_annualised</t>
  </si>
  <si>
    <t>net_credit_loss_rate</t>
  </si>
  <si>
    <t>cost_of_risk_annualised</t>
  </si>
  <si>
    <t>return_on_portfolio_monthly</t>
  </si>
  <si>
    <t>max_loanbook_kes_m</t>
  </si>
  <si>
    <t>month_loanbook_peaks</t>
  </si>
  <si>
    <t>total_revenue_36_months_kes_m</t>
  </si>
  <si>
    <t>total_net_contribution_kes_m</t>
  </si>
  <si>
    <t>breakeven_month</t>
  </si>
  <si>
    <t>INCOME STATEMENT — 3 Year Projection</t>
  </si>
  <si>
    <t>All values KES Millions</t>
  </si>
  <si>
    <t>Year 1</t>
  </si>
  <si>
    <t>Year 2</t>
  </si>
  <si>
    <t>Year 3</t>
  </si>
  <si>
    <t>3 Year Total</t>
  </si>
  <si>
    <t>REVENUE</t>
  </si>
  <si>
    <t>Interest Income</t>
  </si>
  <si>
    <t>Origination Fee Income</t>
  </si>
  <si>
    <t>TOTAL REVENUE</t>
  </si>
  <si>
    <t>COSTS</t>
  </si>
  <si>
    <t>Funding Cost</t>
  </si>
  <si>
    <t>Customer Acquisition Cost</t>
  </si>
  <si>
    <t>Servicing Cost</t>
  </si>
  <si>
    <t>Net Credit Losses</t>
  </si>
  <si>
    <t>TOTAL COSTS</t>
  </si>
  <si>
    <t>EBITDA</t>
  </si>
  <si>
    <t>Tax (30%)</t>
  </si>
  <si>
    <t>NET INCOME</t>
  </si>
  <si>
    <t>KEY METRICS</t>
  </si>
  <si>
    <t>Net Margin %</t>
  </si>
  <si>
    <t>Cost Income Ratio</t>
  </si>
  <si>
    <t>Return on Portfolio</t>
  </si>
  <si>
    <t>INVESTOR RETURNS — Equity Fund Perspective</t>
  </si>
  <si>
    <t>Decision framework: Base IRR &gt; 25% | Recession IRR &gt; 10% | Capital loss probability &lt; 20%</t>
  </si>
  <si>
    <t>CAPITAL STRUCTURE</t>
  </si>
  <si>
    <t>peak_loanbook_kes_m</t>
  </si>
  <si>
    <t>equity_required_kes_m</t>
  </si>
  <si>
    <t>debt_facility_required_kes_m</t>
  </si>
  <si>
    <t>total_capital_deployed_kes_m</t>
  </si>
  <si>
    <t>Year 0 - equity deployed</t>
  </si>
  <si>
    <t>All values in KES Millions unless stated</t>
  </si>
  <si>
    <t>Equity as % of total capital</t>
  </si>
  <si>
    <t>Largest single month loanbook</t>
  </si>
  <si>
    <t>30% of peak loanbook</t>
  </si>
  <si>
    <t>70% of peak loanbook</t>
  </si>
  <si>
    <t>Full facility size</t>
  </si>
  <si>
    <t>Should equal equity_ratio assumption</t>
  </si>
  <si>
    <t>INCOME SUMMARY — FROM INCOME STATEMENT</t>
  </si>
  <si>
    <t>Total Revenue (KES M)</t>
  </si>
  <si>
    <t>Total Costs (KES M)</t>
  </si>
  <si>
    <t>EBITDA (KES M)</t>
  </si>
  <si>
    <t>Net Income (KES M)</t>
  </si>
  <si>
    <t>EXIT AND TERMINAL VALUE</t>
  </si>
  <si>
    <t>Year 3 EBITDA (KES M)</t>
  </si>
  <si>
    <t>Exit EBITDA multiple</t>
  </si>
  <si>
    <t>Enterprise terminal value (KES M)</t>
  </si>
  <si>
    <t>Less: debt outstanding (KES M)</t>
  </si>
  <si>
    <t>Equity terminal value (KES M)</t>
  </si>
  <si>
    <t>From income statement</t>
  </si>
  <si>
    <t>From assumptions - 8X</t>
  </si>
  <si>
    <t>Total company value at exit</t>
  </si>
  <si>
    <t>Remaining debt at exit</t>
  </si>
  <si>
    <t>What equity investors receive</t>
  </si>
  <si>
    <t>EQUITY CASHFLOW SCHEDULE — For IRR Calculation</t>
  </si>
  <si>
    <t>Dividend policy: 50% of net income distributed annually
                 50% retained for portfolio growth capital</t>
  </si>
  <si>
    <t>Year 1 - dividend received</t>
  </si>
  <si>
    <t>Year 2 - dividend received</t>
  </si>
  <si>
    <t>Year 3 - dividend plus exit proceeds</t>
  </si>
  <si>
    <t>Cash out at fund close</t>
  </si>
  <si>
    <t>50% of Year 1 net income</t>
  </si>
  <si>
    <t>50% of Year 2 net income</t>
  </si>
  <si>
    <t>Year 3 dividend plus equity terminal value</t>
  </si>
  <si>
    <t>RETURN METRICS</t>
  </si>
  <si>
    <t>Gross IRR</t>
  </si>
  <si>
    <t>Net IRR after tax</t>
  </si>
  <si>
    <t>MOIC</t>
  </si>
  <si>
    <t>DPI</t>
  </si>
  <si>
    <t>TVPI</t>
  </si>
  <si>
    <t>Payback period</t>
  </si>
  <si>
    <t>Equity IRR before tax</t>
  </si>
  <si>
    <t>After 30% Kenya corporate tax</t>
  </si>
  <si>
    <t>Total money returned per KES invested</t>
  </si>
  <si>
    <t>Dividends only - before exit</t>
  </si>
  <si>
    <t>Total value including unrealised exit</t>
  </si>
  <si>
    <t>Years to return invested capital</t>
  </si>
  <si>
    <t>INVESTMENT DECISION FRAMEWORK</t>
  </si>
  <si>
    <t>Criterion</t>
  </si>
  <si>
    <t>Threshold</t>
  </si>
  <si>
    <t>Actual</t>
  </si>
  <si>
    <t>Result</t>
  </si>
  <si>
    <t>Base case gross IRR</t>
  </si>
  <si>
    <t>DPI (cash returned before exit)</t>
  </si>
  <si>
    <t>Peak portfolio NPL ratio</t>
  </si>
  <si>
    <t>Year 1 EBITDA positive</t>
  </si>
  <si>
    <t>&gt;25%</t>
  </si>
  <si>
    <t>&gt;15%</t>
  </si>
  <si>
    <t>&gt;2.5%</t>
  </si>
  <si>
    <t>&gt;0.5%</t>
  </si>
  <si>
    <t>&lt;15%</t>
  </si>
  <si>
    <t>&gt;0</t>
  </si>
  <si>
    <t>PASSES</t>
  </si>
  <si>
    <t>OVERALL RECOMMENDATION</t>
  </si>
  <si>
    <t>CRITICAL CONDITION</t>
  </si>
  <si>
    <t>STRESS TEST — Scenario Analysis and Downside Protection</t>
  </si>
  <si>
    <t>Four scenarios tested: Base | Mild Recession | Severe Recession | APR Cap Shock</t>
  </si>
  <si>
    <t>Elasticities from ASSUMPTIONS sheet — calibrated to CBK NPL historical data</t>
  </si>
  <si>
    <t>SCENARIO DEFINITIONS</t>
  </si>
  <si>
    <t>Scenario</t>
  </si>
  <si>
    <t>unemployment_shock_pp</t>
  </si>
  <si>
    <t>inflation_shock_PP</t>
  </si>
  <si>
    <t>rate_hike_pp</t>
  </si>
  <si>
    <t>apr_cap_reduction_pp</t>
  </si>
  <si>
    <t>Scenario description</t>
  </si>
  <si>
    <t>Historical precedent</t>
  </si>
  <si>
    <t>Base Case</t>
  </si>
  <si>
    <t>Mild Recession</t>
  </si>
  <si>
    <t>Severe Recession</t>
  </si>
  <si>
    <t>APR Cap Shock</t>
  </si>
  <si>
    <t>Normal  operations</t>
  </si>
  <si>
    <t>Baseline 2024</t>
  </si>
  <si>
    <t>Modertate macro stress</t>
  </si>
  <si>
    <t>Kenya 2017 drought</t>
  </si>
  <si>
    <t>Kenya 2008 crisis</t>
  </si>
  <si>
    <t>2008-style crisis</t>
  </si>
  <si>
    <t>Regulator caps APR</t>
  </si>
  <si>
    <t>Kenya 2016 rate cap</t>
  </si>
  <si>
    <t>PROBABILITY OF DEFAULT — STRESSED</t>
  </si>
  <si>
    <t>Formula: Base PD × (1 + unemployment elasticity × shock + inflation elasticity × shock + rate elasticity × shock)</t>
  </si>
  <si>
    <t>PD_prime_stressed</t>
  </si>
  <si>
    <t>PD_nearprime_stressed</t>
  </si>
  <si>
    <t>PD_subprime_stressed</t>
  </si>
  <si>
    <t>portfolio_PD_stressed</t>
  </si>
  <si>
    <t>PD uplift vs base</t>
  </si>
  <si>
    <t>LOSS GIVEN DEFAULT — STRESSED</t>
  </si>
  <si>
    <t>LGD_stressed</t>
  </si>
  <si>
    <t>Expected loss stressed</t>
  </si>
  <si>
    <t>EL uplift vs base</t>
  </si>
  <si>
    <t>REVENUE AND PRICING — STRESSED</t>
  </si>
  <si>
    <t>Effective APR</t>
  </si>
  <si>
    <t>Revenue multiplier</t>
  </si>
  <si>
    <t>APR reduction</t>
  </si>
  <si>
    <t>Severe recession: 7% revenue haircut from concession programs and fee waivers</t>
  </si>
  <si>
    <t>STRESSED IRR DERIVATION</t>
  </si>
  <si>
    <t>Method: Scales base IRR by credit loss ratio and revenue multiplier
        Base IRR from INVESTOR_RETURNS sheet</t>
  </si>
  <si>
    <t>Base credit loss rate</t>
  </si>
  <si>
    <t>Stressed credit loss rate</t>
  </si>
  <si>
    <t>Credit loss ratio</t>
  </si>
  <si>
    <t>Stressed IRR</t>
  </si>
  <si>
    <t>IRR delta vs base</t>
  </si>
  <si>
    <t>Stressed net IRR after tax</t>
  </si>
  <si>
    <t>MOIC UNDER STRESS</t>
  </si>
  <si>
    <t>Stressed MOIC</t>
  </si>
  <si>
    <t>DOWNSIDE PROTECTION ASSESSMENT</t>
  </si>
  <si>
    <t>Gross IRR above 25% hurdle</t>
  </si>
  <si>
    <t>Gross IRR above 10% floor</t>
  </si>
  <si>
    <t>Net IRR positive after tax</t>
  </si>
  <si>
    <t>MOIC above 1x (no capital loss)</t>
  </si>
  <si>
    <t>VERDICT</t>
  </si>
  <si>
    <t>INVESTMENT COMMITTEE SUMMARY — Stress Test Results</t>
  </si>
  <si>
    <t>Portfolio PD</t>
  </si>
  <si>
    <t>Loss Given Default</t>
  </si>
  <si>
    <t>Expected Loss</t>
  </si>
  <si>
    <t>Verdict</t>
  </si>
  <si>
    <t>Note: MOIC falls below 2.5x threshold only in Severe Recession scenario.</t>
  </si>
  <si>
    <t>All other criteria including the 10% IRR floor are met across all scenarios.</t>
  </si>
  <si>
    <t>Severe Recession represents a Kenya 2008-equivalent crisis which has occurred</t>
  </si>
  <si>
    <t>once in the past 20 years. Base and Mild Recession scenarios meet all criteria.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</si>
</sst>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KES]\ * #,##0.00_-;\-[$KES]\ * #,##0.00_-;_-[$KES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A0D1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164" fontId="2" fillId="2" borderId="0" xfId="0" applyNumberFormat="1" applyFont="1" applyFill="1" applyAlignment="1">
      <alignment vertical="center" wrapText="1"/>
    </xf>
    <xf numFmtId="164" fontId="2" fillId="2" borderId="0" xfId="0" applyNumberFormat="1" applyFont="1" applyFill="1"/>
    <xf numFmtId="9" fontId="2" fillId="2" borderId="0" xfId="1" applyFont="1" applyFill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9" fontId="2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9" fontId="2" fillId="2" borderId="0" xfId="1" applyFont="1" applyFill="1" applyAlignment="1">
      <alignment horizontal="center"/>
    </xf>
    <xf numFmtId="0" fontId="2" fillId="2" borderId="0" xfId="0" applyFont="1" applyFill="1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A0D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28" workbookViewId="0">
      <selection activeCell="B37" sqref="B37"/>
    </sheetView>
  </sheetViews>
  <sheetFormatPr defaultRowHeight="15" x14ac:dyDescent="0.25"/>
  <cols>
    <col min="1" max="1" width="35.7109375" style="2" customWidth="1"/>
    <col min="2" max="2" width="25.7109375" style="2" customWidth="1"/>
    <col min="3" max="3" width="20.7109375" style="2" customWidth="1"/>
    <col min="4" max="4" width="40.7109375" style="2" customWidth="1"/>
    <col min="5" max="16384" width="9.140625" style="2"/>
  </cols>
  <sheetData>
    <row r="1" spans="1:4" ht="30" x14ac:dyDescent="0.25">
      <c r="A1" s="2" t="s">
        <v>0</v>
      </c>
    </row>
    <row r="2" spans="1:4" ht="30" x14ac:dyDescent="0.25">
      <c r="A2" s="2" t="s">
        <v>1</v>
      </c>
    </row>
    <row r="3" spans="1:4" x14ac:dyDescent="0.25">
      <c r="A3" s="2" t="s">
        <v>2</v>
      </c>
    </row>
    <row r="5" spans="1:4" ht="30" x14ac:dyDescent="0.25">
      <c r="A5" s="2" t="s">
        <v>3</v>
      </c>
    </row>
    <row r="6" spans="1:4" x14ac:dyDescent="0.25">
      <c r="A6" s="2" t="s">
        <v>4</v>
      </c>
      <c r="B6" s="2">
        <v>0.14000000000000001</v>
      </c>
      <c r="C6" s="2" t="s">
        <v>5</v>
      </c>
      <c r="D6" s="2" t="s">
        <v>6</v>
      </c>
    </row>
    <row r="7" spans="1:4" x14ac:dyDescent="0.25">
      <c r="A7" s="2" t="s">
        <v>7</v>
      </c>
      <c r="B7" s="2">
        <v>0.3</v>
      </c>
      <c r="C7" s="2" t="s">
        <v>5</v>
      </c>
      <c r="D7" s="2" t="s">
        <v>8</v>
      </c>
    </row>
    <row r="8" spans="1:4" x14ac:dyDescent="0.25">
      <c r="A8" s="2" t="s">
        <v>11</v>
      </c>
      <c r="B8" s="2">
        <v>500</v>
      </c>
      <c r="C8" s="2" t="s">
        <v>10</v>
      </c>
      <c r="D8" s="2" t="s">
        <v>9</v>
      </c>
    </row>
    <row r="9" spans="1:4" x14ac:dyDescent="0.25">
      <c r="A9" s="2" t="s">
        <v>12</v>
      </c>
      <c r="B9" s="2">
        <v>0.02</v>
      </c>
      <c r="C9" s="2" t="s">
        <v>5</v>
      </c>
      <c r="D9" s="2" t="s">
        <v>13</v>
      </c>
    </row>
    <row r="10" spans="1:4" x14ac:dyDescent="0.25">
      <c r="A10" s="2" t="s">
        <v>20</v>
      </c>
      <c r="B10" s="2">
        <v>0.3</v>
      </c>
      <c r="C10" s="2" t="s">
        <v>5</v>
      </c>
      <c r="D10" s="2" t="s">
        <v>14</v>
      </c>
    </row>
    <row r="11" spans="1:4" x14ac:dyDescent="0.25">
      <c r="A11" s="2" t="s">
        <v>15</v>
      </c>
      <c r="B11" s="2">
        <v>0.25</v>
      </c>
      <c r="C11" s="2" t="s">
        <v>5</v>
      </c>
      <c r="D11" s="2" t="s">
        <v>19</v>
      </c>
    </row>
    <row r="12" spans="1:4" x14ac:dyDescent="0.25">
      <c r="A12" s="2" t="s">
        <v>16</v>
      </c>
      <c r="B12" s="2">
        <v>8</v>
      </c>
      <c r="C12" s="2" t="s">
        <v>17</v>
      </c>
      <c r="D12" s="2" t="s">
        <v>18</v>
      </c>
    </row>
    <row r="14" spans="1:4" x14ac:dyDescent="0.25">
      <c r="A14" s="2" t="s">
        <v>21</v>
      </c>
    </row>
    <row r="15" spans="1:4" x14ac:dyDescent="0.25">
      <c r="A15" s="2" t="s">
        <v>22</v>
      </c>
      <c r="B15" s="2">
        <v>15000</v>
      </c>
      <c r="C15" s="2" t="s">
        <v>23</v>
      </c>
      <c r="D15" s="2" t="s">
        <v>24</v>
      </c>
    </row>
    <row r="16" spans="1:4" x14ac:dyDescent="0.25">
      <c r="A16" s="2" t="s">
        <v>26</v>
      </c>
      <c r="B16" s="2">
        <v>500</v>
      </c>
      <c r="C16" s="2" t="s">
        <v>23</v>
      </c>
      <c r="D16" s="2" t="s">
        <v>25</v>
      </c>
    </row>
    <row r="17" spans="1:4" x14ac:dyDescent="0.25">
      <c r="A17" s="2" t="s">
        <v>27</v>
      </c>
      <c r="B17" s="2">
        <v>100000</v>
      </c>
      <c r="C17" s="2" t="s">
        <v>23</v>
      </c>
      <c r="D17" s="2" t="s">
        <v>28</v>
      </c>
    </row>
    <row r="18" spans="1:4" x14ac:dyDescent="0.25">
      <c r="A18" s="2" t="s">
        <v>31</v>
      </c>
      <c r="B18" s="2">
        <v>3</v>
      </c>
      <c r="C18" s="2" t="s">
        <v>30</v>
      </c>
      <c r="D18" s="2" t="s">
        <v>29</v>
      </c>
    </row>
    <row r="19" spans="1:4" x14ac:dyDescent="0.25">
      <c r="A19" s="2" t="s">
        <v>32</v>
      </c>
      <c r="B19" s="2">
        <v>3</v>
      </c>
      <c r="C19" s="2" t="s">
        <v>33</v>
      </c>
      <c r="D19" s="2" t="s">
        <v>34</v>
      </c>
    </row>
    <row r="20" spans="1:4" x14ac:dyDescent="0.25">
      <c r="A20" s="2" t="s">
        <v>36</v>
      </c>
      <c r="B20" s="2">
        <v>0.06</v>
      </c>
      <c r="C20" s="2" t="s">
        <v>5</v>
      </c>
      <c r="D20" s="2" t="s">
        <v>35</v>
      </c>
    </row>
    <row r="21" spans="1:4" x14ac:dyDescent="0.25">
      <c r="A21" s="2" t="s">
        <v>37</v>
      </c>
      <c r="B21" s="2">
        <v>0.01</v>
      </c>
      <c r="C21" s="2" t="s">
        <v>5</v>
      </c>
      <c r="D21" s="2" t="s">
        <v>38</v>
      </c>
    </row>
    <row r="22" spans="1:4" x14ac:dyDescent="0.25">
      <c r="A22" s="2" t="s">
        <v>40</v>
      </c>
      <c r="B22" s="2">
        <v>2500</v>
      </c>
      <c r="C22" s="2" t="s">
        <v>23</v>
      </c>
      <c r="D22" s="2" t="s">
        <v>39</v>
      </c>
    </row>
    <row r="24" spans="1:4" x14ac:dyDescent="0.25">
      <c r="A24" s="2" t="s">
        <v>41</v>
      </c>
    </row>
    <row r="25" spans="1:4" x14ac:dyDescent="0.25">
      <c r="A25" s="2" t="s">
        <v>42</v>
      </c>
      <c r="B25" s="2">
        <v>0.08</v>
      </c>
      <c r="C25" s="2" t="s">
        <v>5</v>
      </c>
      <c r="D25" s="2" t="s">
        <v>43</v>
      </c>
    </row>
    <row r="26" spans="1:4" x14ac:dyDescent="0.25">
      <c r="A26" s="2" t="s">
        <v>45</v>
      </c>
      <c r="B26" s="2">
        <v>0.55000000000000004</v>
      </c>
      <c r="C26" s="2" t="s">
        <v>5</v>
      </c>
      <c r="D26" s="2" t="s">
        <v>44</v>
      </c>
    </row>
    <row r="27" spans="1:4" x14ac:dyDescent="0.25">
      <c r="A27" s="2" t="s">
        <v>46</v>
      </c>
      <c r="B27" s="2">
        <v>0.65</v>
      </c>
      <c r="C27" s="2" t="s">
        <v>5</v>
      </c>
      <c r="D27" s="2" t="s">
        <v>47</v>
      </c>
    </row>
    <row r="28" spans="1:4" x14ac:dyDescent="0.25">
      <c r="A28" s="2" t="s">
        <v>49</v>
      </c>
      <c r="B28" s="2">
        <v>0.12</v>
      </c>
      <c r="C28" s="2" t="s">
        <v>5</v>
      </c>
      <c r="D28" s="2" t="s">
        <v>48</v>
      </c>
    </row>
    <row r="29" spans="1:4" x14ac:dyDescent="0.25">
      <c r="A29" s="2" t="s">
        <v>50</v>
      </c>
      <c r="B29" s="2">
        <v>850</v>
      </c>
      <c r="C29" s="2" t="s">
        <v>23</v>
      </c>
      <c r="D29" s="2" t="s">
        <v>51</v>
      </c>
    </row>
    <row r="30" spans="1:4" x14ac:dyDescent="0.25">
      <c r="A30" s="2" t="s">
        <v>53</v>
      </c>
      <c r="B30" s="2">
        <v>320</v>
      </c>
      <c r="C30" s="2" t="s">
        <v>23</v>
      </c>
      <c r="D30" s="2" t="s">
        <v>52</v>
      </c>
    </row>
    <row r="31" spans="1:4" x14ac:dyDescent="0.25">
      <c r="A31" s="2" t="s">
        <v>54</v>
      </c>
      <c r="B31" s="2">
        <f>(B29*0.6)+(B30*0.4)</f>
        <v>638</v>
      </c>
      <c r="C31" s="2" t="s">
        <v>23</v>
      </c>
      <c r="D31" s="2" t="s">
        <v>55</v>
      </c>
    </row>
    <row r="33" spans="1:4" ht="60" x14ac:dyDescent="0.25">
      <c r="A33" s="2" t="s">
        <v>56</v>
      </c>
      <c r="D33" s="2" t="s">
        <v>57</v>
      </c>
    </row>
    <row r="34" spans="1:4" x14ac:dyDescent="0.25">
      <c r="A34" s="2" t="s">
        <v>58</v>
      </c>
      <c r="B34" s="2">
        <v>3.2000000000000001E-2</v>
      </c>
      <c r="C34" s="2" t="s">
        <v>5</v>
      </c>
      <c r="D34" s="2" t="s">
        <v>59</v>
      </c>
    </row>
    <row r="35" spans="1:4" x14ac:dyDescent="0.25">
      <c r="A35" s="2" t="s">
        <v>61</v>
      </c>
      <c r="B35" s="2">
        <v>7.6999999999999999E-2</v>
      </c>
      <c r="C35" s="2" t="s">
        <v>5</v>
      </c>
      <c r="D35" s="2" t="s">
        <v>60</v>
      </c>
    </row>
    <row r="36" spans="1:4" x14ac:dyDescent="0.25">
      <c r="A36" s="2" t="s">
        <v>62</v>
      </c>
      <c r="B36" s="2">
        <v>0.2006</v>
      </c>
      <c r="C36" s="2" t="s">
        <v>5</v>
      </c>
      <c r="D36" s="2" t="s">
        <v>63</v>
      </c>
    </row>
    <row r="37" spans="1:4" x14ac:dyDescent="0.25">
      <c r="A37" s="2" t="s">
        <v>65</v>
      </c>
      <c r="B37" s="2">
        <v>0.35</v>
      </c>
      <c r="C37" s="2" t="s">
        <v>5</v>
      </c>
      <c r="D37" s="2" t="s">
        <v>64</v>
      </c>
    </row>
    <row r="38" spans="1:4" x14ac:dyDescent="0.25">
      <c r="A38" s="2" t="s">
        <v>66</v>
      </c>
      <c r="B38" s="2">
        <v>0.45</v>
      </c>
      <c r="C38" s="2" t="s">
        <v>5</v>
      </c>
      <c r="D38" s="2" t="s">
        <v>67</v>
      </c>
    </row>
    <row r="39" spans="1:4" x14ac:dyDescent="0.25">
      <c r="A39" s="2" t="s">
        <v>69</v>
      </c>
      <c r="B39" s="2">
        <v>0.6</v>
      </c>
      <c r="C39" s="2" t="s">
        <v>5</v>
      </c>
      <c r="D39" s="2" t="s">
        <v>68</v>
      </c>
    </row>
    <row r="40" spans="1:4" x14ac:dyDescent="0.25">
      <c r="A40" s="2" t="s">
        <v>70</v>
      </c>
      <c r="B40" s="2">
        <v>0.35</v>
      </c>
      <c r="C40" s="2" t="s">
        <v>5</v>
      </c>
      <c r="D40" s="2" t="s">
        <v>71</v>
      </c>
    </row>
    <row r="41" spans="1:4" x14ac:dyDescent="0.25">
      <c r="A41" s="2" t="s">
        <v>73</v>
      </c>
      <c r="B41" s="2">
        <v>0.45</v>
      </c>
      <c r="C41" s="2" t="s">
        <v>5</v>
      </c>
      <c r="D41" s="2" t="s">
        <v>72</v>
      </c>
    </row>
    <row r="42" spans="1:4" x14ac:dyDescent="0.25">
      <c r="A42" s="2" t="s">
        <v>74</v>
      </c>
      <c r="B42" s="2">
        <v>0.2</v>
      </c>
      <c r="C42" s="2" t="s">
        <v>5</v>
      </c>
      <c r="D42" s="2" t="s">
        <v>75</v>
      </c>
    </row>
    <row r="43" spans="1:4" x14ac:dyDescent="0.25">
      <c r="A43" s="2" t="s">
        <v>76</v>
      </c>
      <c r="B43" s="2">
        <f>(B34*B40)+(B35*B41)+(B36*B42)</f>
        <v>8.5970000000000005E-2</v>
      </c>
      <c r="C43" s="2" t="s">
        <v>5</v>
      </c>
      <c r="D43" s="2" t="s">
        <v>77</v>
      </c>
    </row>
    <row r="44" spans="1:4" x14ac:dyDescent="0.25">
      <c r="A44" s="2" t="s">
        <v>78</v>
      </c>
      <c r="B44" s="2">
        <f>(B37*B40)+(B38*B41)+(B39*B42)</f>
        <v>0.44500000000000001</v>
      </c>
      <c r="C44" s="2" t="s">
        <v>5</v>
      </c>
      <c r="D44" s="2" t="s">
        <v>77</v>
      </c>
    </row>
    <row r="46" spans="1:4" ht="60" x14ac:dyDescent="0.25">
      <c r="A46" s="2" t="s">
        <v>79</v>
      </c>
      <c r="D46" s="2" t="s">
        <v>80</v>
      </c>
    </row>
    <row r="47" spans="1:4" x14ac:dyDescent="0.25">
      <c r="A47" s="2" t="s">
        <v>81</v>
      </c>
      <c r="B47" s="2">
        <v>0.18</v>
      </c>
      <c r="C47" s="2" t="s">
        <v>82</v>
      </c>
      <c r="D47" s="2" t="s">
        <v>83</v>
      </c>
    </row>
    <row r="48" spans="1:4" x14ac:dyDescent="0.25">
      <c r="A48" s="2" t="s">
        <v>85</v>
      </c>
      <c r="B48" s="2">
        <v>0.08</v>
      </c>
      <c r="C48" s="2" t="s">
        <v>82</v>
      </c>
      <c r="D48" s="2" t="s">
        <v>84</v>
      </c>
    </row>
    <row r="49" spans="1:4" x14ac:dyDescent="0.25">
      <c r="A49" s="2" t="s">
        <v>86</v>
      </c>
      <c r="B49" s="2">
        <v>0.12</v>
      </c>
      <c r="C49" s="2" t="s">
        <v>82</v>
      </c>
      <c r="D49" s="2" t="s">
        <v>87</v>
      </c>
    </row>
    <row r="50" spans="1:4" x14ac:dyDescent="0.25">
      <c r="A50" s="2" t="s">
        <v>89</v>
      </c>
      <c r="B50" s="2">
        <v>0.1</v>
      </c>
      <c r="C50" s="2" t="s">
        <v>5</v>
      </c>
      <c r="D50" s="2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F2B07-E6D5-4899-86D3-51ECECB643B0}">
  <dimension ref="A1:AL22"/>
  <sheetViews>
    <sheetView topLeftCell="A8" workbookViewId="0">
      <selection activeCell="AK25" sqref="AK25"/>
    </sheetView>
  </sheetViews>
  <sheetFormatPr defaultRowHeight="15" x14ac:dyDescent="0.25"/>
  <cols>
    <col min="1" max="1" width="35.140625" style="2" bestFit="1" customWidth="1"/>
    <col min="2" max="2" width="10" style="2" bestFit="1" customWidth="1"/>
    <col min="3" max="38" width="11.5703125" style="2" bestFit="1" customWidth="1"/>
    <col min="39" max="16384" width="9.140625" style="2"/>
  </cols>
  <sheetData>
    <row r="1" spans="1:38" ht="46.5" customHeight="1" x14ac:dyDescent="0.25">
      <c r="A1" s="2" t="s">
        <v>90</v>
      </c>
    </row>
    <row r="2" spans="1:38" x14ac:dyDescent="0.25">
      <c r="A2" s="2" t="s">
        <v>91</v>
      </c>
    </row>
    <row r="4" spans="1:38" ht="22.5" customHeight="1" x14ac:dyDescent="0.25">
      <c r="A4" s="2" t="s">
        <v>129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  <c r="AC4" s="2" t="s">
        <v>119</v>
      </c>
      <c r="AD4" s="2" t="s">
        <v>120</v>
      </c>
      <c r="AE4" s="2" t="s">
        <v>121</v>
      </c>
      <c r="AF4" s="2" t="s">
        <v>122</v>
      </c>
      <c r="AG4" s="2" t="s">
        <v>123</v>
      </c>
      <c r="AH4" s="2" t="s">
        <v>124</v>
      </c>
      <c r="AI4" s="2" t="s">
        <v>125</v>
      </c>
      <c r="AJ4" s="2" t="s">
        <v>126</v>
      </c>
      <c r="AK4" s="2" t="s">
        <v>127</v>
      </c>
      <c r="AL4" s="2" t="s">
        <v>128</v>
      </c>
    </row>
    <row r="6" spans="1:38" x14ac:dyDescent="0.25">
      <c r="A6" s="2" t="s">
        <v>130</v>
      </c>
    </row>
    <row r="7" spans="1:38" x14ac:dyDescent="0.25">
      <c r="A7" s="2" t="s">
        <v>131</v>
      </c>
      <c r="B7" s="2">
        <v>34500000</v>
      </c>
      <c r="C7" s="2">
        <f>$B$7</f>
        <v>34500000</v>
      </c>
      <c r="D7" s="2">
        <f t="shared" ref="D7:AL7" si="0">$B$7</f>
        <v>34500000</v>
      </c>
      <c r="E7" s="2">
        <f t="shared" si="0"/>
        <v>34500000</v>
      </c>
      <c r="F7" s="2">
        <f t="shared" si="0"/>
        <v>34500000</v>
      </c>
      <c r="G7" s="2">
        <f t="shared" si="0"/>
        <v>34500000</v>
      </c>
      <c r="H7" s="2">
        <f t="shared" si="0"/>
        <v>34500000</v>
      </c>
      <c r="I7" s="2">
        <f t="shared" si="0"/>
        <v>34500000</v>
      </c>
      <c r="J7" s="2">
        <f t="shared" si="0"/>
        <v>34500000</v>
      </c>
      <c r="K7" s="2">
        <f t="shared" si="0"/>
        <v>34500000</v>
      </c>
      <c r="L7" s="2">
        <f t="shared" si="0"/>
        <v>34500000</v>
      </c>
      <c r="M7" s="2">
        <f t="shared" si="0"/>
        <v>34500000</v>
      </c>
      <c r="N7" s="2">
        <f t="shared" si="0"/>
        <v>34500000</v>
      </c>
      <c r="O7" s="2">
        <f t="shared" si="0"/>
        <v>34500000</v>
      </c>
      <c r="P7" s="2">
        <f t="shared" si="0"/>
        <v>34500000</v>
      </c>
      <c r="Q7" s="2">
        <f t="shared" si="0"/>
        <v>34500000</v>
      </c>
      <c r="R7" s="2">
        <f t="shared" si="0"/>
        <v>34500000</v>
      </c>
      <c r="S7" s="2">
        <f t="shared" si="0"/>
        <v>34500000</v>
      </c>
      <c r="T7" s="2">
        <f t="shared" si="0"/>
        <v>34500000</v>
      </c>
      <c r="U7" s="2">
        <f t="shared" si="0"/>
        <v>34500000</v>
      </c>
      <c r="V7" s="2">
        <f t="shared" si="0"/>
        <v>34500000</v>
      </c>
      <c r="W7" s="2">
        <f t="shared" si="0"/>
        <v>34500000</v>
      </c>
      <c r="X7" s="2">
        <f t="shared" si="0"/>
        <v>34500000</v>
      </c>
      <c r="Y7" s="2">
        <f t="shared" si="0"/>
        <v>34500000</v>
      </c>
      <c r="Z7" s="2">
        <f t="shared" si="0"/>
        <v>34500000</v>
      </c>
      <c r="AA7" s="2">
        <f t="shared" si="0"/>
        <v>34500000</v>
      </c>
      <c r="AB7" s="2">
        <f t="shared" si="0"/>
        <v>34500000</v>
      </c>
      <c r="AC7" s="2">
        <f t="shared" si="0"/>
        <v>34500000</v>
      </c>
      <c r="AD7" s="2">
        <f t="shared" si="0"/>
        <v>34500000</v>
      </c>
      <c r="AE7" s="2">
        <f t="shared" si="0"/>
        <v>34500000</v>
      </c>
      <c r="AF7" s="2">
        <f t="shared" si="0"/>
        <v>34500000</v>
      </c>
      <c r="AG7" s="2">
        <f t="shared" si="0"/>
        <v>34500000</v>
      </c>
      <c r="AH7" s="2">
        <f t="shared" si="0"/>
        <v>34500000</v>
      </c>
      <c r="AI7" s="2">
        <f t="shared" si="0"/>
        <v>34500000</v>
      </c>
      <c r="AJ7" s="2">
        <f t="shared" si="0"/>
        <v>34500000</v>
      </c>
      <c r="AK7" s="2">
        <f t="shared" si="0"/>
        <v>34500000</v>
      </c>
      <c r="AL7" s="2">
        <f t="shared" si="0"/>
        <v>34500000</v>
      </c>
    </row>
    <row r="8" spans="1:38" x14ac:dyDescent="0.25">
      <c r="A8" s="2" t="s">
        <v>132</v>
      </c>
      <c r="B8" s="2">
        <v>1.01</v>
      </c>
    </row>
    <row r="9" spans="1:38" x14ac:dyDescent="0.25">
      <c r="A9" s="2" t="s">
        <v>133</v>
      </c>
      <c r="B9" s="2">
        <f>B7*$B$8</f>
        <v>34845000</v>
      </c>
      <c r="C9" s="2">
        <f t="shared" ref="C9:AL9" si="1">C7*$B$8</f>
        <v>34845000</v>
      </c>
      <c r="D9" s="2">
        <f t="shared" si="1"/>
        <v>34845000</v>
      </c>
      <c r="E9" s="2">
        <f t="shared" si="1"/>
        <v>34845000</v>
      </c>
      <c r="F9" s="2">
        <f t="shared" si="1"/>
        <v>34845000</v>
      </c>
      <c r="G9" s="2">
        <f t="shared" si="1"/>
        <v>34845000</v>
      </c>
      <c r="H9" s="2">
        <f t="shared" si="1"/>
        <v>34845000</v>
      </c>
      <c r="I9" s="2">
        <f t="shared" si="1"/>
        <v>34845000</v>
      </c>
      <c r="J9" s="2">
        <f t="shared" si="1"/>
        <v>34845000</v>
      </c>
      <c r="K9" s="2">
        <f t="shared" si="1"/>
        <v>34845000</v>
      </c>
      <c r="L9" s="2">
        <f t="shared" si="1"/>
        <v>34845000</v>
      </c>
      <c r="M9" s="2">
        <f t="shared" si="1"/>
        <v>34845000</v>
      </c>
      <c r="N9" s="2">
        <f t="shared" si="1"/>
        <v>34845000</v>
      </c>
      <c r="O9" s="2">
        <f t="shared" si="1"/>
        <v>34845000</v>
      </c>
      <c r="P9" s="2">
        <f t="shared" si="1"/>
        <v>34845000</v>
      </c>
      <c r="Q9" s="2">
        <f t="shared" si="1"/>
        <v>34845000</v>
      </c>
      <c r="R9" s="2">
        <f t="shared" si="1"/>
        <v>34845000</v>
      </c>
      <c r="S9" s="2">
        <f t="shared" si="1"/>
        <v>34845000</v>
      </c>
      <c r="T9" s="2">
        <f t="shared" si="1"/>
        <v>34845000</v>
      </c>
      <c r="U9" s="2">
        <f t="shared" si="1"/>
        <v>34845000</v>
      </c>
      <c r="V9" s="2">
        <f t="shared" si="1"/>
        <v>34845000</v>
      </c>
      <c r="W9" s="2">
        <f t="shared" si="1"/>
        <v>34845000</v>
      </c>
      <c r="X9" s="2">
        <f t="shared" si="1"/>
        <v>34845000</v>
      </c>
      <c r="Y9" s="2">
        <f t="shared" si="1"/>
        <v>34845000</v>
      </c>
      <c r="Z9" s="2">
        <f t="shared" si="1"/>
        <v>34845000</v>
      </c>
      <c r="AA9" s="2">
        <f t="shared" si="1"/>
        <v>34845000</v>
      </c>
      <c r="AB9" s="2">
        <f t="shared" si="1"/>
        <v>34845000</v>
      </c>
      <c r="AC9" s="2">
        <f t="shared" si="1"/>
        <v>34845000</v>
      </c>
      <c r="AD9" s="2">
        <f t="shared" si="1"/>
        <v>34845000</v>
      </c>
      <c r="AE9" s="2">
        <f t="shared" si="1"/>
        <v>34845000</v>
      </c>
      <c r="AF9" s="2">
        <f t="shared" si="1"/>
        <v>34845000</v>
      </c>
      <c r="AG9" s="2">
        <f t="shared" si="1"/>
        <v>34845000</v>
      </c>
      <c r="AH9" s="2">
        <f t="shared" si="1"/>
        <v>34845000</v>
      </c>
      <c r="AI9" s="2">
        <f t="shared" si="1"/>
        <v>34845000</v>
      </c>
      <c r="AJ9" s="2">
        <f t="shared" si="1"/>
        <v>34845000</v>
      </c>
      <c r="AK9" s="2">
        <f t="shared" si="1"/>
        <v>34845000</v>
      </c>
      <c r="AL9" s="2">
        <f t="shared" si="1"/>
        <v>34845000</v>
      </c>
    </row>
    <row r="10" spans="1:38" x14ac:dyDescent="0.25">
      <c r="A10" s="2" t="s">
        <v>134</v>
      </c>
      <c r="B10" s="2">
        <f t="shared" ref="B10:AL10" si="2">B9*approval_rate</f>
        <v>19164750</v>
      </c>
      <c r="C10" s="2">
        <f t="shared" si="2"/>
        <v>19164750</v>
      </c>
      <c r="D10" s="2">
        <f t="shared" si="2"/>
        <v>19164750</v>
      </c>
      <c r="E10" s="2">
        <f t="shared" si="2"/>
        <v>19164750</v>
      </c>
      <c r="F10" s="2">
        <f t="shared" si="2"/>
        <v>19164750</v>
      </c>
      <c r="G10" s="2">
        <f t="shared" si="2"/>
        <v>19164750</v>
      </c>
      <c r="H10" s="2">
        <f t="shared" si="2"/>
        <v>19164750</v>
      </c>
      <c r="I10" s="2">
        <f t="shared" si="2"/>
        <v>19164750</v>
      </c>
      <c r="J10" s="2">
        <f t="shared" si="2"/>
        <v>19164750</v>
      </c>
      <c r="K10" s="2">
        <f t="shared" si="2"/>
        <v>19164750</v>
      </c>
      <c r="L10" s="2">
        <f t="shared" si="2"/>
        <v>19164750</v>
      </c>
      <c r="M10" s="2">
        <f t="shared" si="2"/>
        <v>19164750</v>
      </c>
      <c r="N10" s="2">
        <f t="shared" si="2"/>
        <v>19164750</v>
      </c>
      <c r="O10" s="2">
        <f t="shared" si="2"/>
        <v>19164750</v>
      </c>
      <c r="P10" s="2">
        <f t="shared" si="2"/>
        <v>19164750</v>
      </c>
      <c r="Q10" s="2">
        <f t="shared" si="2"/>
        <v>19164750</v>
      </c>
      <c r="R10" s="2">
        <f t="shared" si="2"/>
        <v>19164750</v>
      </c>
      <c r="S10" s="2">
        <f t="shared" si="2"/>
        <v>19164750</v>
      </c>
      <c r="T10" s="2">
        <f t="shared" si="2"/>
        <v>19164750</v>
      </c>
      <c r="U10" s="2">
        <f t="shared" si="2"/>
        <v>19164750</v>
      </c>
      <c r="V10" s="2">
        <f t="shared" si="2"/>
        <v>19164750</v>
      </c>
      <c r="W10" s="2">
        <f t="shared" si="2"/>
        <v>19164750</v>
      </c>
      <c r="X10" s="2">
        <f t="shared" si="2"/>
        <v>19164750</v>
      </c>
      <c r="Y10" s="2">
        <f t="shared" si="2"/>
        <v>19164750</v>
      </c>
      <c r="Z10" s="2">
        <f t="shared" si="2"/>
        <v>19164750</v>
      </c>
      <c r="AA10" s="2">
        <f t="shared" si="2"/>
        <v>19164750</v>
      </c>
      <c r="AB10" s="2">
        <f t="shared" si="2"/>
        <v>19164750</v>
      </c>
      <c r="AC10" s="2">
        <f t="shared" si="2"/>
        <v>19164750</v>
      </c>
      <c r="AD10" s="2">
        <f t="shared" si="2"/>
        <v>19164750</v>
      </c>
      <c r="AE10" s="2">
        <f t="shared" si="2"/>
        <v>19164750</v>
      </c>
      <c r="AF10" s="2">
        <f t="shared" si="2"/>
        <v>19164750</v>
      </c>
      <c r="AG10" s="2">
        <f t="shared" si="2"/>
        <v>19164750</v>
      </c>
      <c r="AH10" s="2">
        <f t="shared" si="2"/>
        <v>19164750</v>
      </c>
      <c r="AI10" s="2">
        <f t="shared" si="2"/>
        <v>19164750</v>
      </c>
      <c r="AJ10" s="2">
        <f t="shared" si="2"/>
        <v>19164750</v>
      </c>
      <c r="AK10" s="2">
        <f t="shared" si="2"/>
        <v>19164750</v>
      </c>
      <c r="AL10" s="2">
        <f t="shared" si="2"/>
        <v>19164750</v>
      </c>
    </row>
    <row r="11" spans="1:38" x14ac:dyDescent="0.25">
      <c r="A11" s="2" t="s">
        <v>135</v>
      </c>
      <c r="B11" s="2">
        <v>1E-3</v>
      </c>
      <c r="C11" s="2">
        <f t="shared" ref="C11:AL11" si="3">B11*(1+monthly_growth_rate)</f>
        <v>1.08E-3</v>
      </c>
      <c r="D11" s="2">
        <f t="shared" si="3"/>
        <v>1.1664000000000002E-3</v>
      </c>
      <c r="E11" s="2">
        <f t="shared" si="3"/>
        <v>1.2597120000000003E-3</v>
      </c>
      <c r="F11" s="2">
        <f t="shared" si="3"/>
        <v>1.3604889600000005E-3</v>
      </c>
      <c r="G11" s="2">
        <f t="shared" si="3"/>
        <v>1.4693280768000006E-3</v>
      </c>
      <c r="H11" s="2">
        <f t="shared" si="3"/>
        <v>1.5868743229440008E-3</v>
      </c>
      <c r="I11" s="2">
        <f t="shared" si="3"/>
        <v>1.7138242687795211E-3</v>
      </c>
      <c r="J11" s="2">
        <f t="shared" si="3"/>
        <v>1.8509302102818828E-3</v>
      </c>
      <c r="K11" s="2">
        <f t="shared" si="3"/>
        <v>1.9990046271044335E-3</v>
      </c>
      <c r="L11" s="2">
        <f t="shared" si="3"/>
        <v>2.1589249972727882E-3</v>
      </c>
      <c r="M11" s="2">
        <f t="shared" si="3"/>
        <v>2.3316389970546116E-3</v>
      </c>
      <c r="N11" s="2">
        <f t="shared" si="3"/>
        <v>2.5181701168189808E-3</v>
      </c>
      <c r="O11" s="2">
        <f t="shared" si="3"/>
        <v>2.7196237261644996E-3</v>
      </c>
      <c r="P11" s="2">
        <f t="shared" si="3"/>
        <v>2.9371936242576597E-3</v>
      </c>
      <c r="Q11" s="2">
        <f t="shared" si="3"/>
        <v>3.1721691141982727E-3</v>
      </c>
      <c r="R11" s="2">
        <f t="shared" si="3"/>
        <v>3.4259426433341346E-3</v>
      </c>
      <c r="S11" s="2">
        <f t="shared" si="3"/>
        <v>3.7000180548008655E-3</v>
      </c>
      <c r="T11" s="2">
        <f t="shared" si="3"/>
        <v>3.9960194991849347E-3</v>
      </c>
      <c r="U11" s="2">
        <f t="shared" si="3"/>
        <v>4.3157010591197299E-3</v>
      </c>
      <c r="V11" s="2">
        <f t="shared" si="3"/>
        <v>4.6609571438493086E-3</v>
      </c>
      <c r="W11" s="2">
        <f t="shared" si="3"/>
        <v>5.033833715357254E-3</v>
      </c>
      <c r="X11" s="2">
        <f t="shared" si="3"/>
        <v>5.4365404125858345E-3</v>
      </c>
      <c r="Y11" s="2">
        <f t="shared" si="3"/>
        <v>5.8714636455927021E-3</v>
      </c>
      <c r="Z11" s="2">
        <f t="shared" si="3"/>
        <v>6.3411807372401189E-3</v>
      </c>
      <c r="AA11" s="2">
        <f t="shared" si="3"/>
        <v>6.8484751962193287E-3</v>
      </c>
      <c r="AB11" s="2">
        <f t="shared" si="3"/>
        <v>7.3963532119168751E-3</v>
      </c>
      <c r="AC11" s="2">
        <f t="shared" si="3"/>
        <v>7.9880614688702251E-3</v>
      </c>
      <c r="AD11" s="2">
        <f t="shared" si="3"/>
        <v>8.6271063863798438E-3</v>
      </c>
      <c r="AE11" s="2">
        <f t="shared" si="3"/>
        <v>9.3172748972902321E-3</v>
      </c>
      <c r="AF11" s="2">
        <f t="shared" si="3"/>
        <v>1.0062656889073452E-2</v>
      </c>
      <c r="AG11" s="2">
        <f t="shared" si="3"/>
        <v>1.0867669440199328E-2</v>
      </c>
      <c r="AH11" s="2">
        <f t="shared" si="3"/>
        <v>1.1737082995415276E-2</v>
      </c>
      <c r="AI11" s="2">
        <f t="shared" si="3"/>
        <v>1.2676049635048498E-2</v>
      </c>
      <c r="AJ11" s="2">
        <f t="shared" si="3"/>
        <v>1.3690133605852379E-2</v>
      </c>
      <c r="AK11" s="2">
        <f t="shared" si="3"/>
        <v>1.478534429432057E-2</v>
      </c>
      <c r="AL11" s="2">
        <f t="shared" si="3"/>
        <v>1.5968171837866217E-2</v>
      </c>
    </row>
    <row r="12" spans="1:38" x14ac:dyDescent="0.25">
      <c r="A12" s="2" t="s">
        <v>136</v>
      </c>
      <c r="B12" s="2">
        <f>B10*B11</f>
        <v>19164.75</v>
      </c>
      <c r="C12" s="2">
        <f>C10*C11</f>
        <v>20697.93</v>
      </c>
      <c r="D12" s="2">
        <f t="shared" ref="D12:AL12" si="4">D10*D11</f>
        <v>22353.764400000004</v>
      </c>
      <c r="E12" s="2">
        <f t="shared" si="4"/>
        <v>24142.065552000007</v>
      </c>
      <c r="F12" s="2">
        <f t="shared" si="4"/>
        <v>26073.43079616001</v>
      </c>
      <c r="G12" s="2">
        <f t="shared" si="4"/>
        <v>28159.305259852812</v>
      </c>
      <c r="H12" s="2">
        <f t="shared" si="4"/>
        <v>30412.049680641041</v>
      </c>
      <c r="I12" s="2">
        <f t="shared" si="4"/>
        <v>32845.013655092327</v>
      </c>
      <c r="J12" s="2">
        <f t="shared" si="4"/>
        <v>35472.614747499712</v>
      </c>
      <c r="K12" s="2">
        <f t="shared" si="4"/>
        <v>38310.423927299693</v>
      </c>
      <c r="L12" s="2">
        <f t="shared" si="4"/>
        <v>41375.257841483668</v>
      </c>
      <c r="M12" s="2">
        <f t="shared" si="4"/>
        <v>44685.278468802368</v>
      </c>
      <c r="N12" s="2">
        <f t="shared" si="4"/>
        <v>48260.100746306562</v>
      </c>
      <c r="O12" s="2">
        <f t="shared" si="4"/>
        <v>52120.908806011095</v>
      </c>
      <c r="P12" s="2">
        <f t="shared" si="4"/>
        <v>56290.581510491982</v>
      </c>
      <c r="Q12" s="2">
        <f t="shared" si="4"/>
        <v>60793.828031331344</v>
      </c>
      <c r="R12" s="2">
        <f t="shared" si="4"/>
        <v>65657.334273837856</v>
      </c>
      <c r="S12" s="2">
        <f t="shared" si="4"/>
        <v>70909.921015744883</v>
      </c>
      <c r="T12" s="2">
        <f t="shared" si="4"/>
        <v>76582.714697004471</v>
      </c>
      <c r="U12" s="2">
        <f t="shared" si="4"/>
        <v>82709.331872764844</v>
      </c>
      <c r="V12" s="2">
        <f t="shared" si="4"/>
        <v>89326.078422586041</v>
      </c>
      <c r="W12" s="2">
        <f t="shared" si="4"/>
        <v>96472.164696392938</v>
      </c>
      <c r="X12" s="2">
        <f t="shared" si="4"/>
        <v>104189.93787210438</v>
      </c>
      <c r="Y12" s="2">
        <f t="shared" si="4"/>
        <v>112525.13290187274</v>
      </c>
      <c r="Z12" s="2">
        <f t="shared" si="4"/>
        <v>121527.14353402257</v>
      </c>
      <c r="AA12" s="2">
        <f t="shared" si="4"/>
        <v>131249.31501674437</v>
      </c>
      <c r="AB12" s="2">
        <f t="shared" si="4"/>
        <v>141749.26021808395</v>
      </c>
      <c r="AC12" s="2">
        <f t="shared" si="4"/>
        <v>153089.20103553066</v>
      </c>
      <c r="AD12" s="2">
        <f t="shared" si="4"/>
        <v>165336.33711837311</v>
      </c>
      <c r="AE12" s="2">
        <f t="shared" si="4"/>
        <v>178563.24408784296</v>
      </c>
      <c r="AF12" s="2">
        <f t="shared" si="4"/>
        <v>192848.30361487044</v>
      </c>
      <c r="AG12" s="2">
        <f t="shared" si="4"/>
        <v>208276.16790406007</v>
      </c>
      <c r="AH12" s="2">
        <f t="shared" si="4"/>
        <v>224938.26133638489</v>
      </c>
      <c r="AI12" s="2">
        <f t="shared" si="4"/>
        <v>242933.3222432957</v>
      </c>
      <c r="AJ12" s="2">
        <f t="shared" si="4"/>
        <v>262367.98802275938</v>
      </c>
      <c r="AK12" s="2">
        <f t="shared" si="4"/>
        <v>283357.42706458014</v>
      </c>
      <c r="AL12" s="2">
        <f t="shared" si="4"/>
        <v>306026.02122974658</v>
      </c>
    </row>
    <row r="14" spans="1:38" x14ac:dyDescent="0.25">
      <c r="A14" s="2" t="s">
        <v>137</v>
      </c>
    </row>
    <row r="15" spans="1:38" x14ac:dyDescent="0.25">
      <c r="A15" s="2" t="s">
        <v>138</v>
      </c>
      <c r="B15" s="2">
        <f>B12</f>
        <v>19164.75</v>
      </c>
      <c r="C15" s="2" cm="1">
        <f t="array" ref="C15">MAX(C12-B12*(1-churn_rate),0)</f>
        <v>3832.9500000000007</v>
      </c>
      <c r="D15" s="2" cm="1">
        <f t="array" ref="D15">MAX(D12-C12*(1-churn_rate),0)</f>
        <v>4139.586000000003</v>
      </c>
      <c r="E15" s="2" cm="1">
        <f t="array" ref="E15">MAX(E12-D12*(1-churn_rate),0)</f>
        <v>4470.7528800000036</v>
      </c>
      <c r="F15" s="2" cm="1">
        <f t="array" ref="F15">MAX(F12-E12*(1-churn_rate),0)</f>
        <v>4828.4131104000044</v>
      </c>
      <c r="G15" s="2" cm="1">
        <f t="array" ref="G15">MAX(G12-F12*(1-churn_rate),0)</f>
        <v>5214.686159232002</v>
      </c>
      <c r="H15" s="2" cm="1">
        <f t="array" ref="H15">MAX(H12-G12*(1-churn_rate),0)</f>
        <v>5631.8610519705653</v>
      </c>
      <c r="I15" s="2" cm="1">
        <f t="array" ref="I15">MAX(I12-H12*(1-churn_rate),0)</f>
        <v>6082.4099361282097</v>
      </c>
      <c r="J15" s="2" cm="1">
        <f t="array" ref="J15">MAX(J12-I12*(1-churn_rate),0)</f>
        <v>6569.0027310184632</v>
      </c>
      <c r="K15" s="2" cm="1">
        <f t="array" ref="K15">MAX(K12-J12*(1-churn_rate),0)</f>
        <v>7094.5229494999476</v>
      </c>
      <c r="L15" s="2" cm="1">
        <f t="array" ref="L15">MAX(L12-K12*(1-churn_rate),0)</f>
        <v>7662.0847854599415</v>
      </c>
      <c r="M15" s="2" cm="1">
        <f t="array" ref="M15">MAX(M12-L12*(1-churn_rate),0)</f>
        <v>8275.051568296738</v>
      </c>
      <c r="N15" s="2" cm="1">
        <f t="array" ref="N15">MAX(N12-M12*(1-churn_rate),0)</f>
        <v>8937.0556937604779</v>
      </c>
      <c r="O15" s="2" cm="1">
        <f t="array" ref="O15">MAX(O12-N12*(1-churn_rate),0)</f>
        <v>9652.0201492613196</v>
      </c>
      <c r="P15" s="2" cm="1">
        <f t="array" ref="P15">MAX(P12-O12*(1-churn_rate),0)</f>
        <v>10424.181761202221</v>
      </c>
      <c r="Q15" s="2" cm="1">
        <f t="array" ref="Q15">MAX(Q12-P12*(1-churn_rate),0)</f>
        <v>11258.116302098402</v>
      </c>
      <c r="R15" s="2" cm="1">
        <f t="array" ref="R15">MAX(R12-Q12*(1-churn_rate),0)</f>
        <v>12158.765606266272</v>
      </c>
      <c r="S15" s="2" cm="1">
        <f t="array" ref="S15">MAX(S12-R12*(1-churn_rate),0)</f>
        <v>13131.466854767568</v>
      </c>
      <c r="T15" s="2" cm="1">
        <f t="array" ref="T15">MAX(T12-S12*(1-churn_rate),0)</f>
        <v>14181.984203148975</v>
      </c>
      <c r="U15" s="2" cm="1">
        <f t="array" ref="U15">MAX(U12-T12*(1-churn_rate),0)</f>
        <v>15316.542939400912</v>
      </c>
      <c r="V15" s="2" cm="1">
        <f t="array" ref="V15">MAX(V12-U12*(1-churn_rate),0)</f>
        <v>16541.866374552978</v>
      </c>
      <c r="W15" s="2" cm="1">
        <f t="array" ref="W15">MAX(W12-V12*(1-churn_rate),0)</f>
        <v>17865.215684517229</v>
      </c>
      <c r="X15" s="2" cm="1">
        <f t="array" ref="X15">MAX(X12-W12*(1-churn_rate),0)</f>
        <v>19294.432939278588</v>
      </c>
      <c r="Y15" s="2" cm="1">
        <f t="array" ref="Y15">MAX(Y12-X12*(1-churn_rate),0)</f>
        <v>20837.987574420884</v>
      </c>
      <c r="Z15" s="2" cm="1">
        <f t="array" ref="Z15">MAX(Z12-Y12*(1-churn_rate),0)</f>
        <v>22505.026580374557</v>
      </c>
      <c r="AA15" s="2" cm="1">
        <f t="array" ref="AA15">MAX(AA12-Z12*(1-churn_rate),0)</f>
        <v>24305.428706804509</v>
      </c>
      <c r="AB15" s="2" cm="1">
        <f t="array" ref="AB15">MAX(AB12-AA12*(1-churn_rate),0)</f>
        <v>26249.863003348903</v>
      </c>
      <c r="AC15" s="2" cm="1">
        <f t="array" ref="AC15">MAX(AC12-AB12*(1-churn_rate),0)</f>
        <v>28349.852043616789</v>
      </c>
      <c r="AD15" s="2" cm="1">
        <f t="array" ref="AD15">MAX(AD12-AC12*(1-churn_rate),0)</f>
        <v>30617.840207106143</v>
      </c>
      <c r="AE15" s="2" cm="1">
        <f t="array" ref="AE15">MAX(AE12-AD12*(1-churn_rate),0)</f>
        <v>33067.267423674639</v>
      </c>
      <c r="AF15" s="2" cm="1">
        <f t="array" ref="AF15">MAX(AF12-AE12*(1-churn_rate),0)</f>
        <v>35712.648817568639</v>
      </c>
      <c r="AG15" s="2" cm="1">
        <f t="array" ref="AG15">MAX(AG12-AF12*(1-churn_rate),0)</f>
        <v>38569.660722974077</v>
      </c>
      <c r="AH15" s="2" cm="1">
        <f t="array" ref="AH15">MAX(AH12-AG12*(1-churn_rate),0)</f>
        <v>41655.233580812026</v>
      </c>
      <c r="AI15" s="2" cm="1">
        <f t="array" ref="AI15">MAX(AI12-AH12*(1-churn_rate),0)</f>
        <v>44987.652267276979</v>
      </c>
      <c r="AJ15" s="2" cm="1">
        <f t="array" ref="AJ15">MAX(AJ12-AI12*(1-churn_rate),0)</f>
        <v>48586.664448659169</v>
      </c>
      <c r="AK15" s="2" cm="1">
        <f t="array" ref="AK15">MAX(AK12-AJ12*(1-churn_rate),0)</f>
        <v>52473.597604551876</v>
      </c>
      <c r="AL15" s="2" cm="1">
        <f t="array" ref="AL15">MAX(AL12-AK12*(1-churn_rate),0)</f>
        <v>56671.485412916052</v>
      </c>
    </row>
    <row r="16" spans="1:38" x14ac:dyDescent="0.25">
      <c r="A16" s="2" t="s">
        <v>139</v>
      </c>
      <c r="B16" s="2">
        <v>0</v>
      </c>
      <c r="C16" s="2">
        <f t="shared" ref="C16:AL16" si="5">B12*repeat_rate</f>
        <v>12457.0875</v>
      </c>
      <c r="D16" s="2">
        <f t="shared" si="5"/>
        <v>13453.654500000001</v>
      </c>
      <c r="E16" s="2">
        <f t="shared" si="5"/>
        <v>14529.946860000004</v>
      </c>
      <c r="F16" s="2">
        <f t="shared" si="5"/>
        <v>15692.342608800005</v>
      </c>
      <c r="G16" s="2">
        <f t="shared" si="5"/>
        <v>16947.730017504007</v>
      </c>
      <c r="H16" s="2">
        <f t="shared" si="5"/>
        <v>18303.548418904327</v>
      </c>
      <c r="I16" s="2">
        <f t="shared" si="5"/>
        <v>19767.832292416679</v>
      </c>
      <c r="J16" s="2">
        <f t="shared" si="5"/>
        <v>21349.258875810014</v>
      </c>
      <c r="K16" s="2">
        <f t="shared" si="5"/>
        <v>23057.199585874812</v>
      </c>
      <c r="L16" s="2">
        <f t="shared" si="5"/>
        <v>24901.775552744803</v>
      </c>
      <c r="M16" s="2">
        <f t="shared" si="5"/>
        <v>26893.917596964384</v>
      </c>
      <c r="N16" s="2">
        <f t="shared" si="5"/>
        <v>29045.43100472154</v>
      </c>
      <c r="O16" s="2">
        <f t="shared" si="5"/>
        <v>31369.065485099265</v>
      </c>
      <c r="P16" s="2">
        <f t="shared" si="5"/>
        <v>33878.590723907211</v>
      </c>
      <c r="Q16" s="2">
        <f t="shared" si="5"/>
        <v>36588.877981819787</v>
      </c>
      <c r="R16" s="2">
        <f t="shared" si="5"/>
        <v>39515.988220365376</v>
      </c>
      <c r="S16" s="2">
        <f t="shared" si="5"/>
        <v>42677.267277994608</v>
      </c>
      <c r="T16" s="2">
        <f t="shared" si="5"/>
        <v>46091.448660234179</v>
      </c>
      <c r="U16" s="2">
        <f t="shared" si="5"/>
        <v>49778.764553052904</v>
      </c>
      <c r="V16" s="2">
        <f t="shared" si="5"/>
        <v>53761.065717297148</v>
      </c>
      <c r="W16" s="2">
        <f t="shared" si="5"/>
        <v>58061.950974680927</v>
      </c>
      <c r="X16" s="2">
        <f t="shared" si="5"/>
        <v>62706.907052655413</v>
      </c>
      <c r="Y16" s="2">
        <f t="shared" si="5"/>
        <v>67723.45961686784</v>
      </c>
      <c r="Z16" s="2">
        <f t="shared" si="5"/>
        <v>73141.336386217285</v>
      </c>
      <c r="AA16" s="2">
        <f t="shared" si="5"/>
        <v>78992.643297114671</v>
      </c>
      <c r="AB16" s="2">
        <f t="shared" si="5"/>
        <v>85312.054760883839</v>
      </c>
      <c r="AC16" s="2">
        <f t="shared" si="5"/>
        <v>92137.019141754572</v>
      </c>
      <c r="AD16" s="2">
        <f t="shared" si="5"/>
        <v>99507.980673094935</v>
      </c>
      <c r="AE16" s="2">
        <f t="shared" si="5"/>
        <v>107468.61912694252</v>
      </c>
      <c r="AF16" s="2">
        <f t="shared" si="5"/>
        <v>116066.10865709792</v>
      </c>
      <c r="AG16" s="2">
        <f t="shared" si="5"/>
        <v>125351.39734966579</v>
      </c>
      <c r="AH16" s="2">
        <f t="shared" si="5"/>
        <v>135379.50913763905</v>
      </c>
      <c r="AI16" s="2">
        <f t="shared" si="5"/>
        <v>146209.86986865019</v>
      </c>
      <c r="AJ16" s="2">
        <f t="shared" si="5"/>
        <v>157906.65945814221</v>
      </c>
      <c r="AK16" s="2">
        <f t="shared" si="5"/>
        <v>170539.19221479361</v>
      </c>
      <c r="AL16" s="2">
        <f t="shared" si="5"/>
        <v>184182.32759197711</v>
      </c>
    </row>
    <row r="17" spans="1:38" x14ac:dyDescent="0.25">
      <c r="A17" s="2" t="s">
        <v>140</v>
      </c>
      <c r="B17" s="2">
        <f>B15+B16</f>
        <v>19164.75</v>
      </c>
      <c r="C17" s="2">
        <f>C15+C16</f>
        <v>16290.0375</v>
      </c>
      <c r="D17" s="2">
        <f t="shared" ref="D17:AL17" si="6">D15+D16</f>
        <v>17593.240500000004</v>
      </c>
      <c r="E17" s="2">
        <f t="shared" si="6"/>
        <v>19000.699740000007</v>
      </c>
      <c r="F17" s="2">
        <f t="shared" si="6"/>
        <v>20520.755719200009</v>
      </c>
      <c r="G17" s="2">
        <f t="shared" si="6"/>
        <v>22162.416176736009</v>
      </c>
      <c r="H17" s="2">
        <f t="shared" si="6"/>
        <v>23935.409470874893</v>
      </c>
      <c r="I17" s="2">
        <f t="shared" si="6"/>
        <v>25850.242228544888</v>
      </c>
      <c r="J17" s="2">
        <f t="shared" si="6"/>
        <v>27918.261606828477</v>
      </c>
      <c r="K17" s="2">
        <f t="shared" si="6"/>
        <v>30151.72253537476</v>
      </c>
      <c r="L17" s="2">
        <f t="shared" si="6"/>
        <v>32563.860338204744</v>
      </c>
      <c r="M17" s="2">
        <f t="shared" si="6"/>
        <v>35168.969165261122</v>
      </c>
      <c r="N17" s="2">
        <f t="shared" si="6"/>
        <v>37982.486698482018</v>
      </c>
      <c r="O17" s="2">
        <f t="shared" si="6"/>
        <v>41021.085634360585</v>
      </c>
      <c r="P17" s="2">
        <f t="shared" si="6"/>
        <v>44302.772485109432</v>
      </c>
      <c r="Q17" s="2">
        <f t="shared" si="6"/>
        <v>47846.994283918189</v>
      </c>
      <c r="R17" s="2">
        <f t="shared" si="6"/>
        <v>51674.753826631648</v>
      </c>
      <c r="S17" s="2">
        <f t="shared" si="6"/>
        <v>55808.734132762176</v>
      </c>
      <c r="T17" s="2">
        <f t="shared" si="6"/>
        <v>60273.432863383154</v>
      </c>
      <c r="U17" s="2">
        <f t="shared" si="6"/>
        <v>65095.307492453816</v>
      </c>
      <c r="V17" s="2">
        <f t="shared" si="6"/>
        <v>70302.932091850118</v>
      </c>
      <c r="W17" s="2">
        <f t="shared" si="6"/>
        <v>75927.166659198148</v>
      </c>
      <c r="X17" s="2">
        <f t="shared" si="6"/>
        <v>82001.339991934001</v>
      </c>
      <c r="Y17" s="2">
        <f t="shared" si="6"/>
        <v>88561.447191288724</v>
      </c>
      <c r="Z17" s="2">
        <f t="shared" si="6"/>
        <v>95646.362966591842</v>
      </c>
      <c r="AA17" s="2">
        <f t="shared" si="6"/>
        <v>103298.07200391918</v>
      </c>
      <c r="AB17" s="2">
        <f t="shared" si="6"/>
        <v>111561.91776423274</v>
      </c>
      <c r="AC17" s="2">
        <f t="shared" si="6"/>
        <v>120486.87118537136</v>
      </c>
      <c r="AD17" s="2">
        <f t="shared" si="6"/>
        <v>130125.82088020108</v>
      </c>
      <c r="AE17" s="2">
        <f t="shared" si="6"/>
        <v>140535.88655061717</v>
      </c>
      <c r="AF17" s="2">
        <f t="shared" si="6"/>
        <v>151778.75747466658</v>
      </c>
      <c r="AG17" s="2">
        <f t="shared" si="6"/>
        <v>163921.05807263986</v>
      </c>
      <c r="AH17" s="2">
        <f t="shared" si="6"/>
        <v>177034.74271845107</v>
      </c>
      <c r="AI17" s="2">
        <f t="shared" si="6"/>
        <v>191197.52213592717</v>
      </c>
      <c r="AJ17" s="2">
        <f t="shared" si="6"/>
        <v>206493.32390680138</v>
      </c>
      <c r="AK17" s="2">
        <f t="shared" si="6"/>
        <v>223012.78981934549</v>
      </c>
      <c r="AL17" s="2">
        <f t="shared" si="6"/>
        <v>240853.81300489316</v>
      </c>
    </row>
    <row r="18" spans="1:38" x14ac:dyDescent="0.25">
      <c r="A18" s="2" t="s">
        <v>141</v>
      </c>
      <c r="B18" s="2">
        <f t="shared" ref="B18:AL18" si="7">B17*avg_loan_size</f>
        <v>287471250</v>
      </c>
      <c r="C18" s="2">
        <f t="shared" si="7"/>
        <v>244350562.5</v>
      </c>
      <c r="D18" s="2">
        <f t="shared" si="7"/>
        <v>263898607.50000006</v>
      </c>
      <c r="E18" s="2">
        <f t="shared" si="7"/>
        <v>285010496.10000008</v>
      </c>
      <c r="F18" s="2">
        <f t="shared" si="7"/>
        <v>307811335.78800017</v>
      </c>
      <c r="G18" s="2">
        <f t="shared" si="7"/>
        <v>332436242.65104014</v>
      </c>
      <c r="H18" s="2">
        <f t="shared" si="7"/>
        <v>359031142.0631234</v>
      </c>
      <c r="I18" s="2">
        <f t="shared" si="7"/>
        <v>387753633.4281733</v>
      </c>
      <c r="J18" s="2">
        <f t="shared" si="7"/>
        <v>418773924.10242712</v>
      </c>
      <c r="K18" s="2">
        <f t="shared" si="7"/>
        <v>452275838.03062141</v>
      </c>
      <c r="L18" s="2">
        <f t="shared" si="7"/>
        <v>488457905.07307118</v>
      </c>
      <c r="M18" s="2">
        <f t="shared" si="7"/>
        <v>527534537.47891682</v>
      </c>
      <c r="N18" s="2">
        <f t="shared" si="7"/>
        <v>569737300.47723031</v>
      </c>
      <c r="O18" s="2">
        <f t="shared" si="7"/>
        <v>615316284.51540875</v>
      </c>
      <c r="P18" s="2">
        <f t="shared" si="7"/>
        <v>664541587.27664149</v>
      </c>
      <c r="Q18" s="2">
        <f t="shared" si="7"/>
        <v>717704914.25877285</v>
      </c>
      <c r="R18" s="2">
        <f t="shared" si="7"/>
        <v>775121307.39947474</v>
      </c>
      <c r="S18" s="2">
        <f t="shared" si="7"/>
        <v>837131011.99143267</v>
      </c>
      <c r="T18" s="2">
        <f t="shared" si="7"/>
        <v>904101492.95074725</v>
      </c>
      <c r="U18" s="2">
        <f t="shared" si="7"/>
        <v>976429612.3868072</v>
      </c>
      <c r="V18" s="2">
        <f t="shared" si="7"/>
        <v>1054543981.3777518</v>
      </c>
      <c r="W18" s="2">
        <f t="shared" si="7"/>
        <v>1138907499.8879721</v>
      </c>
      <c r="X18" s="2">
        <f t="shared" si="7"/>
        <v>1230020099.87901</v>
      </c>
      <c r="Y18" s="2">
        <f t="shared" si="7"/>
        <v>1328421707.8693309</v>
      </c>
      <c r="Z18" s="2">
        <f t="shared" si="7"/>
        <v>1434695444.4988775</v>
      </c>
      <c r="AA18" s="2">
        <f t="shared" si="7"/>
        <v>1549471080.0587876</v>
      </c>
      <c r="AB18" s="2">
        <f t="shared" si="7"/>
        <v>1673428766.4634912</v>
      </c>
      <c r="AC18" s="2">
        <f t="shared" si="7"/>
        <v>1807303067.7805705</v>
      </c>
      <c r="AD18" s="2">
        <f t="shared" si="7"/>
        <v>1951887313.2030163</v>
      </c>
      <c r="AE18" s="2">
        <f t="shared" si="7"/>
        <v>2108038298.2592576</v>
      </c>
      <c r="AF18" s="2">
        <f t="shared" si="7"/>
        <v>2276681362.1199985</v>
      </c>
      <c r="AG18" s="2">
        <f t="shared" si="7"/>
        <v>2458815871.0895977</v>
      </c>
      <c r="AH18" s="2">
        <f t="shared" si="7"/>
        <v>2655521140.7767663</v>
      </c>
      <c r="AI18" s="2">
        <f t="shared" si="7"/>
        <v>2867962832.0389075</v>
      </c>
      <c r="AJ18" s="2">
        <f t="shared" si="7"/>
        <v>3097399858.6020207</v>
      </c>
      <c r="AK18" s="2">
        <f t="shared" si="7"/>
        <v>3345191847.2901821</v>
      </c>
      <c r="AL18" s="2">
        <f t="shared" si="7"/>
        <v>3612807195.0733976</v>
      </c>
    </row>
    <row r="20" spans="1:38" x14ac:dyDescent="0.25">
      <c r="A20" s="2" t="s">
        <v>142</v>
      </c>
    </row>
    <row r="21" spans="1:38" x14ac:dyDescent="0.25">
      <c r="A21" s="2" t="s">
        <v>143</v>
      </c>
      <c r="B21" s="2">
        <f>B17</f>
        <v>19164.75</v>
      </c>
      <c r="C21" s="2">
        <f>C17+B21</f>
        <v>35454.787499999999</v>
      </c>
      <c r="D21" s="2">
        <f>D17+C21</f>
        <v>53048.028000000006</v>
      </c>
      <c r="E21" s="2">
        <f t="shared" ref="E21:AL21" si="8">E17+D21</f>
        <v>72048.727740000017</v>
      </c>
      <c r="F21" s="2">
        <f t="shared" si="8"/>
        <v>92569.483459200026</v>
      </c>
      <c r="G21" s="2">
        <f t="shared" si="8"/>
        <v>114731.89963593603</v>
      </c>
      <c r="H21" s="2">
        <f t="shared" si="8"/>
        <v>138667.30910681092</v>
      </c>
      <c r="I21" s="2">
        <f t="shared" si="8"/>
        <v>164517.55133535582</v>
      </c>
      <c r="J21" s="2">
        <f t="shared" si="8"/>
        <v>192435.8129421843</v>
      </c>
      <c r="K21" s="2">
        <f t="shared" si="8"/>
        <v>222587.53547755905</v>
      </c>
      <c r="L21" s="2">
        <f t="shared" si="8"/>
        <v>255151.3958157638</v>
      </c>
      <c r="M21" s="2">
        <f t="shared" si="8"/>
        <v>290320.36498102493</v>
      </c>
      <c r="N21" s="2">
        <f t="shared" si="8"/>
        <v>328302.85167950694</v>
      </c>
      <c r="O21" s="2">
        <f t="shared" si="8"/>
        <v>369323.9373138675</v>
      </c>
      <c r="P21" s="2">
        <f t="shared" si="8"/>
        <v>413626.70979897695</v>
      </c>
      <c r="Q21" s="2">
        <f t="shared" si="8"/>
        <v>461473.70408289513</v>
      </c>
      <c r="R21" s="2">
        <f t="shared" si="8"/>
        <v>513148.45790952677</v>
      </c>
      <c r="S21" s="2">
        <f t="shared" si="8"/>
        <v>568957.19204228895</v>
      </c>
      <c r="T21" s="2">
        <f t="shared" si="8"/>
        <v>629230.62490567216</v>
      </c>
      <c r="U21" s="2">
        <f t="shared" si="8"/>
        <v>694325.93239812599</v>
      </c>
      <c r="V21" s="2">
        <f t="shared" si="8"/>
        <v>764628.86448997608</v>
      </c>
      <c r="W21" s="2">
        <f t="shared" si="8"/>
        <v>840556.0311491742</v>
      </c>
      <c r="X21" s="2">
        <f t="shared" si="8"/>
        <v>922557.37114110822</v>
      </c>
      <c r="Y21" s="2">
        <f t="shared" si="8"/>
        <v>1011118.8183323969</v>
      </c>
      <c r="Z21" s="2">
        <f t="shared" si="8"/>
        <v>1106765.1812989889</v>
      </c>
      <c r="AA21" s="2">
        <f t="shared" si="8"/>
        <v>1210063.253302908</v>
      </c>
      <c r="AB21" s="2">
        <f t="shared" si="8"/>
        <v>1321625.1710671408</v>
      </c>
      <c r="AC21" s="2">
        <f t="shared" si="8"/>
        <v>1442112.0422525122</v>
      </c>
      <c r="AD21" s="2">
        <f t="shared" si="8"/>
        <v>1572237.8631327134</v>
      </c>
      <c r="AE21" s="2">
        <f t="shared" si="8"/>
        <v>1712773.7496833305</v>
      </c>
      <c r="AF21" s="2">
        <f t="shared" si="8"/>
        <v>1864552.5071579972</v>
      </c>
      <c r="AG21" s="2">
        <f t="shared" si="8"/>
        <v>2028473.5652306371</v>
      </c>
      <c r="AH21" s="2">
        <f t="shared" si="8"/>
        <v>2205508.307949088</v>
      </c>
      <c r="AI21" s="2">
        <f t="shared" si="8"/>
        <v>2396705.8300850154</v>
      </c>
      <c r="AJ21" s="2">
        <f t="shared" si="8"/>
        <v>2603199.1539918166</v>
      </c>
      <c r="AK21" s="2">
        <f t="shared" si="8"/>
        <v>2826211.9438111619</v>
      </c>
      <c r="AL21" s="2">
        <f t="shared" si="8"/>
        <v>3067065.7568160552</v>
      </c>
    </row>
    <row r="22" spans="1:38" x14ac:dyDescent="0.25">
      <c r="A22" s="2" t="s">
        <v>144</v>
      </c>
      <c r="B22" s="2">
        <f>B18/1000000</f>
        <v>287.47125</v>
      </c>
      <c r="C22" s="2">
        <f>(C18/1000000)+B22</f>
        <v>531.82181249999996</v>
      </c>
      <c r="D22" s="2">
        <f t="shared" ref="D22:AL22" si="9">(D18/1000000)+C22</f>
        <v>795.7204200000001</v>
      </c>
      <c r="E22" s="2">
        <f t="shared" si="9"/>
        <v>1080.7309161000003</v>
      </c>
      <c r="F22" s="2">
        <f t="shared" si="9"/>
        <v>1388.5422518880005</v>
      </c>
      <c r="G22" s="2">
        <f t="shared" si="9"/>
        <v>1720.9784945390406</v>
      </c>
      <c r="H22" s="2">
        <f t="shared" si="9"/>
        <v>2080.0096366021639</v>
      </c>
      <c r="I22" s="2">
        <f t="shared" si="9"/>
        <v>2467.7632700303375</v>
      </c>
      <c r="J22" s="2">
        <f t="shared" si="9"/>
        <v>2886.5371941327649</v>
      </c>
      <c r="K22" s="2">
        <f t="shared" si="9"/>
        <v>3338.8130321633862</v>
      </c>
      <c r="L22" s="2">
        <f t="shared" si="9"/>
        <v>3827.2709372364575</v>
      </c>
      <c r="M22" s="2">
        <f t="shared" si="9"/>
        <v>4354.8054747153747</v>
      </c>
      <c r="N22" s="2">
        <f t="shared" si="9"/>
        <v>4924.5427751926054</v>
      </c>
      <c r="O22" s="2">
        <f t="shared" si="9"/>
        <v>5539.8590597080138</v>
      </c>
      <c r="P22" s="2">
        <f t="shared" si="9"/>
        <v>6204.4006469846554</v>
      </c>
      <c r="Q22" s="2">
        <f t="shared" si="9"/>
        <v>6922.1055612434284</v>
      </c>
      <c r="R22" s="2">
        <f t="shared" si="9"/>
        <v>7697.2268686429034</v>
      </c>
      <c r="S22" s="2">
        <f t="shared" si="9"/>
        <v>8534.3578806343357</v>
      </c>
      <c r="T22" s="2">
        <f t="shared" si="9"/>
        <v>9438.4593735850831</v>
      </c>
      <c r="U22" s="2">
        <f t="shared" si="9"/>
        <v>10414.888985971891</v>
      </c>
      <c r="V22" s="2">
        <f t="shared" si="9"/>
        <v>11469.432967349643</v>
      </c>
      <c r="W22" s="2">
        <f t="shared" si="9"/>
        <v>12608.340467237615</v>
      </c>
      <c r="X22" s="2">
        <f t="shared" si="9"/>
        <v>13838.360567116624</v>
      </c>
      <c r="Y22" s="2">
        <f t="shared" si="9"/>
        <v>15166.782274985955</v>
      </c>
      <c r="Z22" s="2">
        <f t="shared" si="9"/>
        <v>16601.477719484832</v>
      </c>
      <c r="AA22" s="2">
        <f t="shared" si="9"/>
        <v>18150.948799543621</v>
      </c>
      <c r="AB22" s="2">
        <f t="shared" si="9"/>
        <v>19824.377566007111</v>
      </c>
      <c r="AC22" s="2">
        <f t="shared" si="9"/>
        <v>21631.680633787681</v>
      </c>
      <c r="AD22" s="2">
        <f t="shared" si="9"/>
        <v>23583.567946990697</v>
      </c>
      <c r="AE22" s="2">
        <f t="shared" si="9"/>
        <v>25691.606245249954</v>
      </c>
      <c r="AF22" s="2">
        <f t="shared" si="9"/>
        <v>27968.287607369952</v>
      </c>
      <c r="AG22" s="2">
        <f t="shared" si="9"/>
        <v>30427.10347845955</v>
      </c>
      <c r="AH22" s="2">
        <f t="shared" si="9"/>
        <v>33082.624619236318</v>
      </c>
      <c r="AI22" s="2">
        <f t="shared" si="9"/>
        <v>35950.587451275227</v>
      </c>
      <c r="AJ22" s="2">
        <f t="shared" si="9"/>
        <v>39047.987309877251</v>
      </c>
      <c r="AK22" s="2">
        <f t="shared" si="9"/>
        <v>42393.179157167433</v>
      </c>
      <c r="AL22" s="2">
        <f t="shared" si="9"/>
        <v>46005.986352240827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8522-93AE-477E-90C1-56F6D0C5FA81}">
  <dimension ref="A1:H9"/>
  <sheetViews>
    <sheetView workbookViewId="0">
      <selection activeCell="C6" sqref="C6"/>
    </sheetView>
  </sheetViews>
  <sheetFormatPr defaultRowHeight="15" x14ac:dyDescent="0.25"/>
  <cols>
    <col min="1" max="1" width="29" style="2" customWidth="1"/>
    <col min="2" max="5" width="9.140625" style="2"/>
    <col min="6" max="6" width="13.28515625" style="2" customWidth="1"/>
    <col min="7" max="7" width="13.85546875" style="2" customWidth="1"/>
    <col min="8" max="8" width="14.28515625" style="2" customWidth="1"/>
    <col min="9" max="16384" width="9.140625" style="2"/>
  </cols>
  <sheetData>
    <row r="1" spans="1:8" ht="44.25" customHeight="1" x14ac:dyDescent="0.25">
      <c r="A1" s="2" t="s">
        <v>145</v>
      </c>
    </row>
    <row r="2" spans="1:8" ht="61.5" customHeight="1" x14ac:dyDescent="0.25">
      <c r="A2" s="2" t="s">
        <v>147</v>
      </c>
    </row>
    <row r="4" spans="1:8" ht="33.75" customHeight="1" x14ac:dyDescent="0.25">
      <c r="A4" s="2" t="s">
        <v>146</v>
      </c>
      <c r="B4" s="2" t="s">
        <v>148</v>
      </c>
      <c r="C4" s="2" t="s">
        <v>149</v>
      </c>
      <c r="D4" s="2" t="s">
        <v>150</v>
      </c>
      <c r="E4" s="2" t="s">
        <v>151</v>
      </c>
      <c r="F4" s="2" t="s">
        <v>152</v>
      </c>
      <c r="G4" s="2" t="s">
        <v>153</v>
      </c>
      <c r="H4" s="2" t="s">
        <v>27</v>
      </c>
    </row>
    <row r="5" spans="1:8" x14ac:dyDescent="0.25">
      <c r="A5" s="2" t="s">
        <v>154</v>
      </c>
      <c r="B5" s="2">
        <f>share_prime</f>
        <v>0.35</v>
      </c>
      <c r="C5" s="2">
        <f>PD_prime</f>
        <v>3.2000000000000001E-2</v>
      </c>
      <c r="D5" s="2">
        <f>LGD_prime</f>
        <v>0.35</v>
      </c>
      <c r="E5" s="2">
        <f>C5*D5</f>
        <v>1.12E-2</v>
      </c>
      <c r="F5" s="2">
        <v>1.2</v>
      </c>
      <c r="G5" s="2">
        <f>cost_of_debt+origination_fee+E5+0.08</f>
        <v>0.29120000000000001</v>
      </c>
      <c r="H5" s="2">
        <v>100000</v>
      </c>
    </row>
    <row r="6" spans="1:8" x14ac:dyDescent="0.25">
      <c r="A6" s="2" t="s">
        <v>155</v>
      </c>
      <c r="B6" s="2">
        <f>share_nearprime</f>
        <v>0.45</v>
      </c>
      <c r="C6" s="2">
        <f>PD_nearprime</f>
        <v>7.6999999999999999E-2</v>
      </c>
      <c r="D6" s="2">
        <f>LGD_nearprime</f>
        <v>0.45</v>
      </c>
      <c r="E6" s="2">
        <f t="shared" ref="E6:E9" si="0">C6*D6</f>
        <v>3.465E-2</v>
      </c>
      <c r="F6" s="2">
        <v>1</v>
      </c>
      <c r="G6" s="1">
        <f>cost_of_debt+origination_fee+E6+0.08</f>
        <v>0.31465000000000004</v>
      </c>
      <c r="H6" s="2">
        <v>50000</v>
      </c>
    </row>
    <row r="7" spans="1:8" x14ac:dyDescent="0.25">
      <c r="A7" s="2" t="s">
        <v>156</v>
      </c>
      <c r="B7" s="2">
        <f>share_subprime</f>
        <v>0.2</v>
      </c>
      <c r="C7" s="2">
        <f>PD_subprime</f>
        <v>0.2006</v>
      </c>
      <c r="D7" s="2">
        <f>LGD_subprime</f>
        <v>0.6</v>
      </c>
      <c r="E7" s="2">
        <f t="shared" si="0"/>
        <v>0.12035999999999999</v>
      </c>
      <c r="F7" s="2">
        <v>0.7</v>
      </c>
      <c r="G7" s="1">
        <f>cost_of_debt+origination_fee+E7+0.08</f>
        <v>0.40035999999999999</v>
      </c>
      <c r="H7" s="2">
        <v>25000</v>
      </c>
    </row>
    <row r="8" spans="1:8" x14ac:dyDescent="0.25">
      <c r="G8" s="1"/>
    </row>
    <row r="9" spans="1:8" x14ac:dyDescent="0.25">
      <c r="A9" s="2" t="s">
        <v>157</v>
      </c>
      <c r="B9" s="2">
        <f>SUM(B5:B7)</f>
        <v>1</v>
      </c>
      <c r="C9" s="2">
        <f>portfolio_PD</f>
        <v>8.5970000000000005E-2</v>
      </c>
      <c r="D9" s="2">
        <f>portfolio_LGD</f>
        <v>0.44500000000000001</v>
      </c>
      <c r="E9" s="2">
        <f t="shared" si="0"/>
        <v>3.8256650000000003E-2</v>
      </c>
      <c r="G9" s="1">
        <f>cost_of_debt+origination_fee+E9+0.08</f>
        <v>0.31825665000000003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DE112-EA62-4D12-8A3E-8622D5551674}">
  <dimension ref="A1:N38"/>
  <sheetViews>
    <sheetView topLeftCell="A25" workbookViewId="0">
      <selection activeCell="A27" sqref="A27:C38"/>
    </sheetView>
  </sheetViews>
  <sheetFormatPr defaultRowHeight="15" x14ac:dyDescent="0.25"/>
  <cols>
    <col min="1" max="1" width="26" style="4" customWidth="1"/>
    <col min="2" max="2" width="16.85546875" style="4" bestFit="1" customWidth="1"/>
    <col min="3" max="3" width="23.140625" style="4" bestFit="1" customWidth="1"/>
    <col min="4" max="4" width="11.7109375" style="4" customWidth="1"/>
    <col min="5" max="5" width="21" style="4" bestFit="1" customWidth="1"/>
    <col min="6" max="6" width="12.28515625" style="4" bestFit="1" customWidth="1"/>
    <col min="7" max="7" width="17.42578125" style="4" bestFit="1" customWidth="1"/>
    <col min="8" max="8" width="21" style="4" bestFit="1" customWidth="1"/>
    <col min="9" max="9" width="18.140625" style="4" customWidth="1"/>
    <col min="10" max="10" width="18.42578125" style="4" bestFit="1" customWidth="1"/>
    <col min="11" max="12" width="21" style="4" bestFit="1" customWidth="1"/>
    <col min="13" max="13" width="17.42578125" style="4" bestFit="1" customWidth="1"/>
    <col min="14" max="14" width="18.7109375" style="4" bestFit="1" customWidth="1"/>
    <col min="15" max="16384" width="9.140625" style="4"/>
  </cols>
  <sheetData>
    <row r="1" spans="1:2" ht="59.25" customHeight="1" x14ac:dyDescent="0.25">
      <c r="A1" s="4" t="s">
        <v>158</v>
      </c>
    </row>
    <row r="2" spans="1:2" ht="29.25" customHeight="1" x14ac:dyDescent="0.25">
      <c r="A2" s="4" t="s">
        <v>171</v>
      </c>
    </row>
    <row r="4" spans="1:2" x14ac:dyDescent="0.25">
      <c r="A4" s="4" t="s">
        <v>159</v>
      </c>
    </row>
    <row r="5" spans="1:2" x14ac:dyDescent="0.25">
      <c r="A5" s="4" t="s">
        <v>160</v>
      </c>
      <c r="B5" s="4">
        <f>MARKET_MODEL!B17</f>
        <v>19164.75</v>
      </c>
    </row>
    <row r="6" spans="1:2" x14ac:dyDescent="0.25">
      <c r="A6" s="4" t="s">
        <v>22</v>
      </c>
      <c r="B6" s="4">
        <f>avg_loan_size</f>
        <v>15000</v>
      </c>
    </row>
    <row r="7" spans="1:2" x14ac:dyDescent="0.25">
      <c r="A7" s="4" t="s">
        <v>161</v>
      </c>
      <c r="B7" s="4">
        <f>B5*B6</f>
        <v>287471250</v>
      </c>
    </row>
    <row r="8" spans="1:2" x14ac:dyDescent="0.25">
      <c r="A8" s="4" t="s">
        <v>172</v>
      </c>
      <c r="B8" s="4">
        <f>RISK_SEGMENTS!G9</f>
        <v>0.31825665000000003</v>
      </c>
    </row>
    <row r="9" spans="1:2" x14ac:dyDescent="0.25">
      <c r="A9" s="4" t="s">
        <v>173</v>
      </c>
      <c r="B9" s="4">
        <f>B8/12</f>
        <v>2.6521387500000004E-2</v>
      </c>
    </row>
    <row r="10" spans="1:2" x14ac:dyDescent="0.25">
      <c r="A10" s="4" t="s">
        <v>162</v>
      </c>
      <c r="B10" s="4">
        <f>avg_term_months</f>
        <v>3</v>
      </c>
    </row>
    <row r="11" spans="1:2" x14ac:dyDescent="0.25">
      <c r="A11" s="4" t="s">
        <v>176</v>
      </c>
      <c r="B11" s="4">
        <f>portfolio_PD</f>
        <v>8.5970000000000005E-2</v>
      </c>
    </row>
    <row r="12" spans="1:2" x14ac:dyDescent="0.25">
      <c r="A12" s="4" t="s">
        <v>163</v>
      </c>
      <c r="B12" s="4">
        <f>portfolio_PD/12</f>
        <v>7.1641666666666668E-3</v>
      </c>
    </row>
    <row r="13" spans="1:2" x14ac:dyDescent="0.25">
      <c r="A13" s="4" t="s">
        <v>150</v>
      </c>
      <c r="B13" s="4">
        <f>portfolio_LGD</f>
        <v>0.44500000000000001</v>
      </c>
    </row>
    <row r="14" spans="1:2" ht="19.5" customHeight="1" x14ac:dyDescent="0.25">
      <c r="A14" s="4" t="s">
        <v>174</v>
      </c>
      <c r="B14" s="4">
        <f>B7*origination_fee</f>
        <v>17248275</v>
      </c>
    </row>
    <row r="15" spans="1:2" x14ac:dyDescent="0.25">
      <c r="A15" s="4" t="s">
        <v>175</v>
      </c>
      <c r="B15" s="4">
        <f>cost_of_debt</f>
        <v>0.14000000000000001</v>
      </c>
    </row>
    <row r="16" spans="1:2" x14ac:dyDescent="0.25">
      <c r="A16" s="4" t="s">
        <v>177</v>
      </c>
      <c r="B16" s="4">
        <f>B15/12</f>
        <v>1.1666666666666667E-2</v>
      </c>
    </row>
    <row r="17" spans="1:14" x14ac:dyDescent="0.25">
      <c r="A17" s="4" t="s">
        <v>178</v>
      </c>
      <c r="B17" s="4">
        <v>5.0000000000000001E-3</v>
      </c>
    </row>
    <row r="19" spans="1:14" ht="150" x14ac:dyDescent="0.25">
      <c r="A19" s="4" t="s">
        <v>179</v>
      </c>
    </row>
    <row r="21" spans="1:14" ht="30" x14ac:dyDescent="0.25">
      <c r="A21" s="4" t="s">
        <v>164</v>
      </c>
      <c r="B21" s="4" t="s">
        <v>165</v>
      </c>
      <c r="C21" s="4" t="s">
        <v>180</v>
      </c>
      <c r="D21" s="4" t="s">
        <v>181</v>
      </c>
      <c r="E21" s="4" t="s">
        <v>166</v>
      </c>
      <c r="F21" s="4" t="s">
        <v>182</v>
      </c>
      <c r="G21" s="4" t="s">
        <v>183</v>
      </c>
      <c r="H21" s="4" t="s">
        <v>184</v>
      </c>
      <c r="I21" s="4" t="s">
        <v>185</v>
      </c>
      <c r="J21" s="4" t="s">
        <v>186</v>
      </c>
      <c r="K21" s="4" t="s">
        <v>169</v>
      </c>
      <c r="L21" s="4" t="s">
        <v>168</v>
      </c>
      <c r="M21" s="4" t="s">
        <v>167</v>
      </c>
      <c r="N21" s="4" t="s">
        <v>170</v>
      </c>
    </row>
    <row r="22" spans="1:14" x14ac:dyDescent="0.25">
      <c r="A22" s="4">
        <v>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f>$B$7</f>
        <v>287471250</v>
      </c>
      <c r="J22" s="4">
        <f>$B$14</f>
        <v>17248275</v>
      </c>
      <c r="K22" s="4">
        <f>-$B$7</f>
        <v>-287471250</v>
      </c>
      <c r="L22" s="4">
        <v>0</v>
      </c>
      <c r="M22" s="4">
        <f>J22+K22+L22</f>
        <v>-270222975</v>
      </c>
      <c r="N22" s="4">
        <f>M22</f>
        <v>-270222975</v>
      </c>
    </row>
    <row r="23" spans="1:14" x14ac:dyDescent="0.25">
      <c r="A23" s="4">
        <f>A22+1</f>
        <v>1</v>
      </c>
      <c r="B23" s="4">
        <f>I22</f>
        <v>287471250</v>
      </c>
      <c r="C23" s="1">
        <f>B23*$B$12</f>
        <v>2059491.9468750001</v>
      </c>
      <c r="D23" s="4">
        <f>B23-C23</f>
        <v>285411758.05312502</v>
      </c>
      <c r="E23" s="5">
        <f>PMT($B$9,$B$10,-D23)</f>
        <v>100227622.22898452</v>
      </c>
      <c r="F23" s="4">
        <f>D23*$B$9</f>
        <v>7569515.8323831754</v>
      </c>
      <c r="G23" s="5">
        <f>E23-F23</f>
        <v>92658106.396601349</v>
      </c>
      <c r="H23" s="5">
        <f>C23*(1-$B$13)</f>
        <v>1143018.0305156249</v>
      </c>
      <c r="I23" s="5">
        <f>D23-G23</f>
        <v>192753651.65652367</v>
      </c>
      <c r="J23" s="5">
        <f>E23+H23</f>
        <v>101370640.25950015</v>
      </c>
      <c r="K23" s="5">
        <f>-B23*$B$16</f>
        <v>-3353831.25</v>
      </c>
      <c r="L23" s="5">
        <f>-B23*$B$17</f>
        <v>-1437356.25</v>
      </c>
      <c r="M23" s="5">
        <f>J23+K23+L23</f>
        <v>96579452.759500146</v>
      </c>
      <c r="N23" s="5">
        <f>N22+M23</f>
        <v>-173643522.24049985</v>
      </c>
    </row>
    <row r="24" spans="1:14" x14ac:dyDescent="0.25">
      <c r="A24" s="4">
        <f>A23+1</f>
        <v>2</v>
      </c>
      <c r="B24" s="4">
        <f>I23</f>
        <v>192753651.65652367</v>
      </c>
      <c r="C24" s="1">
        <f>B24*$B$12</f>
        <v>1380919.286075945</v>
      </c>
      <c r="D24" s="4">
        <f>B24-C24</f>
        <v>191372732.37044773</v>
      </c>
      <c r="E24" s="5">
        <f>PMT($B$9,$B$10-1,-D24)</f>
        <v>99509574.838732392</v>
      </c>
      <c r="F24" s="4">
        <f>D24*$B$9</f>
        <v>5075470.3921304382</v>
      </c>
      <c r="G24" s="5">
        <f>E24-F24</f>
        <v>94434104.446601957</v>
      </c>
      <c r="H24" s="5">
        <f>C24*(1-$B$13)</f>
        <v>766410.2037721494</v>
      </c>
      <c r="I24" s="5">
        <f>D24-G24</f>
        <v>96938627.923845768</v>
      </c>
      <c r="J24" s="5">
        <f>E24+H24</f>
        <v>100275985.04250453</v>
      </c>
      <c r="K24" s="5">
        <f>-B24*$B$16</f>
        <v>-2248792.6026594429</v>
      </c>
      <c r="L24" s="5">
        <f>-B24*$B$17</f>
        <v>-963768.25828261836</v>
      </c>
      <c r="M24" s="5">
        <f>J24+K24+L24</f>
        <v>97063424.181562468</v>
      </c>
      <c r="N24" s="5">
        <f>N23+M24</f>
        <v>-76580098.058937386</v>
      </c>
    </row>
    <row r="25" spans="1:14" x14ac:dyDescent="0.25">
      <c r="A25" s="4">
        <f>A24+1</f>
        <v>3</v>
      </c>
      <c r="B25" s="4">
        <f>I24</f>
        <v>96938627.923845768</v>
      </c>
      <c r="C25" s="1">
        <f>B25*$B$12</f>
        <v>694484.48688441841</v>
      </c>
      <c r="D25" s="4">
        <f>B25-C25</f>
        <v>96244143.436961353</v>
      </c>
      <c r="E25" s="5">
        <f>PMT($B$9,$B$10-2,-D25)</f>
        <v>98796671.659658581</v>
      </c>
      <c r="F25" s="4">
        <f>D25*$B$9</f>
        <v>2552528.2226972342</v>
      </c>
      <c r="G25" s="5">
        <f>E25-F25</f>
        <v>96244143.436961353</v>
      </c>
      <c r="H25" s="5">
        <f>C25*(1-$B$13)</f>
        <v>385438.89022085216</v>
      </c>
      <c r="I25" s="5">
        <f>D25-G25</f>
        <v>0</v>
      </c>
      <c r="J25" s="5">
        <f>E25+H25</f>
        <v>99182110.549879432</v>
      </c>
      <c r="K25" s="5">
        <f>-B25*$B$16</f>
        <v>-1130950.659111534</v>
      </c>
      <c r="L25" s="5">
        <f>-B25*$B$17</f>
        <v>-484693.13961922884</v>
      </c>
      <c r="M25" s="5">
        <f>J25+K25+L25</f>
        <v>97566466.751148671</v>
      </c>
      <c r="N25" s="5">
        <f>N24+M25</f>
        <v>20986368.692211285</v>
      </c>
    </row>
    <row r="27" spans="1:14" x14ac:dyDescent="0.25">
      <c r="A27" s="1" t="s">
        <v>187</v>
      </c>
    </row>
    <row r="28" spans="1:14" x14ac:dyDescent="0.25">
      <c r="A28" s="1" t="s">
        <v>188</v>
      </c>
      <c r="B28" s="5">
        <f>I25</f>
        <v>0</v>
      </c>
      <c r="C28" s="1" t="str">
        <f>IF(ABS(B28)&lt;B7*0.05,"PASS — near zero","WARNING — check formulas")</f>
        <v>PASS — near zero</v>
      </c>
    </row>
    <row r="29" spans="1:14" x14ac:dyDescent="0.25">
      <c r="A29" s="1" t="s">
        <v>189</v>
      </c>
      <c r="B29" s="1">
        <f>F23+F24+F25</f>
        <v>15197514.447210846</v>
      </c>
      <c r="C29" s="1" t="str">
        <f>IF(B29&gt;0,"PASS","WARNING")</f>
        <v>PASS</v>
      </c>
    </row>
    <row r="30" spans="1:14" x14ac:dyDescent="0.25">
      <c r="A30" s="1" t="s">
        <v>190</v>
      </c>
      <c r="B30" s="1">
        <f>C23+C24+C25</f>
        <v>4134895.7198353638</v>
      </c>
      <c r="C30" s="1" t="str">
        <f>TEXT(B30/B7,"0.0%") &amp; " of original principal"</f>
        <v>1.4% of original principal</v>
      </c>
    </row>
    <row r="31" spans="1:14" x14ac:dyDescent="0.25">
      <c r="A31" s="1" t="s">
        <v>191</v>
      </c>
      <c r="B31" s="6">
        <f>H23+H24+H25</f>
        <v>2294867.1245086263</v>
      </c>
    </row>
    <row r="32" spans="1:14" x14ac:dyDescent="0.25">
      <c r="A32" s="1" t="s">
        <v>192</v>
      </c>
      <c r="B32" s="6">
        <f>(B30-B31)</f>
        <v>1840028.5953267375</v>
      </c>
      <c r="C32" s="1" t="str">
        <f>TEXT(B32/B7,"0.0%") &amp; " loss rate"</f>
        <v>0.6% loss rate</v>
      </c>
    </row>
    <row r="34" spans="1:2" x14ac:dyDescent="0.25">
      <c r="A34" s="1" t="s">
        <v>193</v>
      </c>
    </row>
    <row r="35" spans="1:2" x14ac:dyDescent="0.25">
      <c r="A35" s="1" t="s">
        <v>194</v>
      </c>
      <c r="B35" s="1">
        <f>IFERROR(IRR(M22:M25),"Negative — check cashflows")</f>
        <v>3.8283675381971305E-2</v>
      </c>
    </row>
    <row r="36" spans="1:2" x14ac:dyDescent="0.25">
      <c r="A36" s="1" t="s">
        <v>195</v>
      </c>
      <c r="B36" s="1">
        <f>(1+B35)^12-1</f>
        <v>0.56961199686904385</v>
      </c>
    </row>
    <row r="37" spans="1:2" x14ac:dyDescent="0.25">
      <c r="A37" s="1" t="s">
        <v>196</v>
      </c>
      <c r="B37" s="1">
        <f>IFERROR((J22+J23+J24+J25+H23+H24+H25)/$B$7,"Check")</f>
        <v>1.1144484117155811</v>
      </c>
    </row>
    <row r="38" spans="1:2" x14ac:dyDescent="0.25">
      <c r="A38" s="1" t="s">
        <v>197</v>
      </c>
      <c r="B38" s="1" cm="1">
        <f t="array" ref="B38">IFERROR(MATCH(TRUE,INDEX(N22:N25&gt;=0,0),0)-1,"Beyond term")</f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4003C-9D33-453E-A3BB-E95BD1EDDF56}">
  <dimension ref="A4:AL44"/>
  <sheetViews>
    <sheetView topLeftCell="A11" workbookViewId="0">
      <selection activeCell="C44" sqref="C44"/>
    </sheetView>
  </sheetViews>
  <sheetFormatPr defaultRowHeight="15" x14ac:dyDescent="0.25"/>
  <cols>
    <col min="1" max="1" width="43" style="1" bestFit="1" customWidth="1"/>
    <col min="2" max="2" width="12" style="1" bestFit="1" customWidth="1"/>
    <col min="3" max="3" width="23.28515625" style="1" customWidth="1"/>
    <col min="4" max="16384" width="9.140625" style="1"/>
  </cols>
  <sheetData>
    <row r="4" spans="1:38" ht="42" customHeight="1" x14ac:dyDescent="0.25">
      <c r="A4" s="2" t="s">
        <v>198</v>
      </c>
    </row>
    <row r="5" spans="1:38" x14ac:dyDescent="0.25">
      <c r="A5" s="1" t="s">
        <v>199</v>
      </c>
      <c r="B5" s="1">
        <f>LOAN_CASHFLOWS!G23/LOAN_CASHFLOWS!B7</f>
        <v>0.32232129785709474</v>
      </c>
    </row>
    <row r="6" spans="1:38" x14ac:dyDescent="0.25">
      <c r="A6" s="1" t="s">
        <v>200</v>
      </c>
      <c r="B6" s="1">
        <f>LOAN_CASHFLOWS!G24/LOAN_CASHFLOWS!B7</f>
        <v>0.3284993001790682</v>
      </c>
    </row>
    <row r="7" spans="1:38" x14ac:dyDescent="0.25">
      <c r="A7" s="1" t="s">
        <v>201</v>
      </c>
      <c r="B7" s="1">
        <f>LOAN_CASHFLOWS!G25/LOAN_CASHFLOWS!B7</f>
        <v>0.33479571761336602</v>
      </c>
    </row>
    <row r="8" spans="1:38" x14ac:dyDescent="0.25">
      <c r="A8" s="1" t="s">
        <v>202</v>
      </c>
      <c r="B8" s="1">
        <f>SUM(B5:B7)</f>
        <v>0.98561631564952901</v>
      </c>
      <c r="C8" s="1" t="str">
        <f>IF(ABS(B8-1)&lt;0.05,"PASS — sums to ~100%","WARNING — check LOAN_CASHFLOWS")</f>
        <v>PASS — sums to ~100%</v>
      </c>
    </row>
    <row r="10" spans="1:38" x14ac:dyDescent="0.25">
      <c r="A10" s="1" t="s">
        <v>203</v>
      </c>
    </row>
    <row r="11" spans="1:38" x14ac:dyDescent="0.25">
      <c r="A11" s="1" t="s">
        <v>204</v>
      </c>
      <c r="B11" s="1">
        <v>0</v>
      </c>
      <c r="C11" s="1">
        <f>MARKET_MODEL!C18/1000000</f>
        <v>244.3505625</v>
      </c>
      <c r="D11" s="1">
        <f>MARKET_MODEL!D18/1000000</f>
        <v>263.89860750000008</v>
      </c>
      <c r="E11" s="1">
        <f>MARKET_MODEL!E18/1000000</f>
        <v>285.01049610000007</v>
      </c>
      <c r="F11" s="1">
        <f>MARKET_MODEL!F18/1000000</f>
        <v>307.81133578800018</v>
      </c>
      <c r="G11" s="1">
        <f>MARKET_MODEL!G18/1000000</f>
        <v>332.43624265104012</v>
      </c>
      <c r="H11" s="1">
        <f>MARKET_MODEL!H18/1000000</f>
        <v>359.03114206312341</v>
      </c>
      <c r="I11" s="1">
        <f>MARKET_MODEL!I18/1000000</f>
        <v>387.75363342817332</v>
      </c>
      <c r="J11" s="1">
        <f>MARKET_MODEL!J18/1000000</f>
        <v>418.77392410242715</v>
      </c>
      <c r="K11" s="1">
        <f>MARKET_MODEL!K18/1000000</f>
        <v>452.2758380306214</v>
      </c>
      <c r="L11" s="1">
        <f>MARKET_MODEL!L18/1000000</f>
        <v>488.45790507307117</v>
      </c>
      <c r="M11" s="1">
        <f>MARKET_MODEL!M18/1000000</f>
        <v>527.53453747891683</v>
      </c>
      <c r="N11" s="1">
        <f>MARKET_MODEL!N18/1000000</f>
        <v>569.73730047723029</v>
      </c>
      <c r="O11" s="1">
        <f>MARKET_MODEL!O18/1000000</f>
        <v>615.31628451540871</v>
      </c>
      <c r="P11" s="1">
        <f>MARKET_MODEL!P18/1000000</f>
        <v>664.54158727664151</v>
      </c>
      <c r="Q11" s="1">
        <f>MARKET_MODEL!Q18/1000000</f>
        <v>717.70491425877287</v>
      </c>
      <c r="R11" s="1">
        <f>MARKET_MODEL!R18/1000000</f>
        <v>775.12130739947474</v>
      </c>
      <c r="S11" s="1">
        <f>MARKET_MODEL!S18/1000000</f>
        <v>837.13101199143262</v>
      </c>
      <c r="T11" s="1">
        <f>MARKET_MODEL!T18/1000000</f>
        <v>904.10149295074723</v>
      </c>
      <c r="U11" s="1">
        <f>MARKET_MODEL!U18/1000000</f>
        <v>976.42961238680721</v>
      </c>
      <c r="V11" s="1">
        <f>MARKET_MODEL!V18/1000000</f>
        <v>1054.5439813777518</v>
      </c>
      <c r="W11" s="1">
        <f>MARKET_MODEL!W18/1000000</f>
        <v>1138.9074998879721</v>
      </c>
      <c r="X11" s="1">
        <f>MARKET_MODEL!X18/1000000</f>
        <v>1230.0200998790099</v>
      </c>
      <c r="Y11" s="1">
        <f>MARKET_MODEL!Y18/1000000</f>
        <v>1328.4217078693309</v>
      </c>
      <c r="Z11" s="1">
        <f>MARKET_MODEL!Z18/1000000</f>
        <v>1434.6954444988776</v>
      </c>
      <c r="AA11" s="1">
        <f>MARKET_MODEL!AA18/1000000</f>
        <v>1549.4710800587875</v>
      </c>
      <c r="AB11" s="1">
        <f>MARKET_MODEL!AB18/1000000</f>
        <v>1673.4287664634912</v>
      </c>
      <c r="AC11" s="1">
        <f>MARKET_MODEL!AC18/1000000</f>
        <v>1807.3030677805705</v>
      </c>
      <c r="AD11" s="1">
        <f>MARKET_MODEL!AD18/1000000</f>
        <v>1951.8873132030162</v>
      </c>
      <c r="AE11" s="1">
        <f>MARKET_MODEL!AE18/1000000</f>
        <v>2108.0382982592578</v>
      </c>
      <c r="AF11" s="1">
        <f>MARKET_MODEL!AF18/1000000</f>
        <v>2276.6813621199985</v>
      </c>
      <c r="AG11" s="1">
        <f>MARKET_MODEL!AG18/1000000</f>
        <v>2458.8158710895977</v>
      </c>
      <c r="AH11" s="1">
        <f>MARKET_MODEL!AH18/1000000</f>
        <v>2655.5211407767665</v>
      </c>
      <c r="AI11" s="1">
        <f>MARKET_MODEL!AI18/1000000</f>
        <v>2867.9628320389074</v>
      </c>
      <c r="AJ11" s="1">
        <f>MARKET_MODEL!AJ18/1000000</f>
        <v>3097.3998586020207</v>
      </c>
      <c r="AK11" s="1">
        <f>MARKET_MODEL!AK18/1000000</f>
        <v>3345.1918472901821</v>
      </c>
      <c r="AL11" s="1">
        <f>MARKET_MODEL!AL18/1000000</f>
        <v>3612.8071950733975</v>
      </c>
    </row>
    <row r="14" spans="1:38" x14ac:dyDescent="0.25">
      <c r="A14" s="1" t="s">
        <v>129</v>
      </c>
      <c r="B14" s="1" t="s">
        <v>92</v>
      </c>
      <c r="C14" s="1" t="s">
        <v>93</v>
      </c>
      <c r="D14" s="1" t="s">
        <v>94</v>
      </c>
      <c r="E14" s="1" t="s">
        <v>95</v>
      </c>
      <c r="F14" s="1" t="s">
        <v>96</v>
      </c>
      <c r="G14" s="1" t="s">
        <v>97</v>
      </c>
      <c r="H14" s="1" t="s">
        <v>98</v>
      </c>
      <c r="I14" s="1" t="s">
        <v>99</v>
      </c>
      <c r="J14" s="1" t="s">
        <v>100</v>
      </c>
      <c r="K14" s="1" t="s">
        <v>101</v>
      </c>
      <c r="L14" s="1" t="s">
        <v>102</v>
      </c>
      <c r="M14" s="1" t="s">
        <v>103</v>
      </c>
      <c r="N14" s="1" t="s">
        <v>104</v>
      </c>
      <c r="O14" s="1" t="s">
        <v>105</v>
      </c>
      <c r="P14" s="1" t="s">
        <v>106</v>
      </c>
      <c r="Q14" s="1" t="s">
        <v>107</v>
      </c>
      <c r="R14" s="1" t="s">
        <v>108</v>
      </c>
      <c r="S14" s="1" t="s">
        <v>109</v>
      </c>
      <c r="T14" s="1" t="s">
        <v>110</v>
      </c>
      <c r="U14" s="1" t="s">
        <v>111</v>
      </c>
      <c r="V14" s="1" t="s">
        <v>112</v>
      </c>
      <c r="W14" s="1" t="s">
        <v>113</v>
      </c>
      <c r="X14" s="1" t="s">
        <v>114</v>
      </c>
      <c r="Y14" s="1" t="s">
        <v>115</v>
      </c>
      <c r="Z14" s="1" t="s">
        <v>116</v>
      </c>
      <c r="AA14" s="1" t="s">
        <v>117</v>
      </c>
      <c r="AB14" s="1" t="s">
        <v>118</v>
      </c>
      <c r="AC14" s="1" t="s">
        <v>119</v>
      </c>
      <c r="AD14" s="1" t="s">
        <v>120</v>
      </c>
      <c r="AE14" s="1" t="s">
        <v>121</v>
      </c>
      <c r="AF14" s="1" t="s">
        <v>122</v>
      </c>
      <c r="AG14" s="1" t="s">
        <v>123</v>
      </c>
      <c r="AH14" s="1" t="s">
        <v>124</v>
      </c>
      <c r="AI14" s="1" t="s">
        <v>125</v>
      </c>
      <c r="AJ14" s="1" t="s">
        <v>126</v>
      </c>
      <c r="AK14" s="1" t="s">
        <v>127</v>
      </c>
      <c r="AL14" s="1" t="s">
        <v>128</v>
      </c>
    </row>
    <row r="15" spans="1:38" x14ac:dyDescent="0.25">
      <c r="A15" s="1" t="s">
        <v>204</v>
      </c>
      <c r="B15" s="1">
        <v>0</v>
      </c>
      <c r="C15" s="1">
        <f>C11</f>
        <v>244.3505625</v>
      </c>
      <c r="D15" s="1">
        <f t="shared" ref="D15:AL15" si="0">D11</f>
        <v>263.89860750000008</v>
      </c>
      <c r="E15" s="1">
        <f t="shared" si="0"/>
        <v>285.01049610000007</v>
      </c>
      <c r="F15" s="1">
        <f t="shared" si="0"/>
        <v>307.81133578800018</v>
      </c>
      <c r="G15" s="1">
        <f t="shared" si="0"/>
        <v>332.43624265104012</v>
      </c>
      <c r="H15" s="1">
        <f t="shared" si="0"/>
        <v>359.03114206312341</v>
      </c>
      <c r="I15" s="1">
        <f t="shared" si="0"/>
        <v>387.75363342817332</v>
      </c>
      <c r="J15" s="1">
        <f t="shared" si="0"/>
        <v>418.77392410242715</v>
      </c>
      <c r="K15" s="1">
        <f t="shared" si="0"/>
        <v>452.2758380306214</v>
      </c>
      <c r="L15" s="1">
        <f t="shared" si="0"/>
        <v>488.45790507307117</v>
      </c>
      <c r="M15" s="1">
        <f t="shared" si="0"/>
        <v>527.53453747891683</v>
      </c>
      <c r="N15" s="1">
        <f t="shared" si="0"/>
        <v>569.73730047723029</v>
      </c>
      <c r="O15" s="1">
        <f t="shared" si="0"/>
        <v>615.31628451540871</v>
      </c>
      <c r="P15" s="1">
        <f t="shared" si="0"/>
        <v>664.54158727664151</v>
      </c>
      <c r="Q15" s="1">
        <f t="shared" si="0"/>
        <v>717.70491425877287</v>
      </c>
      <c r="R15" s="1">
        <f t="shared" si="0"/>
        <v>775.12130739947474</v>
      </c>
      <c r="S15" s="1">
        <f t="shared" si="0"/>
        <v>837.13101199143262</v>
      </c>
      <c r="T15" s="1">
        <f t="shared" si="0"/>
        <v>904.10149295074723</v>
      </c>
      <c r="U15" s="1">
        <f t="shared" si="0"/>
        <v>976.42961238680721</v>
      </c>
      <c r="V15" s="1">
        <f t="shared" si="0"/>
        <v>1054.5439813777518</v>
      </c>
      <c r="W15" s="1">
        <f t="shared" si="0"/>
        <v>1138.9074998879721</v>
      </c>
      <c r="X15" s="1">
        <f t="shared" si="0"/>
        <v>1230.0200998790099</v>
      </c>
      <c r="Y15" s="1">
        <f t="shared" si="0"/>
        <v>1328.4217078693309</v>
      </c>
      <c r="Z15" s="1">
        <f t="shared" si="0"/>
        <v>1434.6954444988776</v>
      </c>
      <c r="AA15" s="1">
        <f t="shared" si="0"/>
        <v>1549.4710800587875</v>
      </c>
      <c r="AB15" s="1">
        <f t="shared" si="0"/>
        <v>1673.4287664634912</v>
      </c>
      <c r="AC15" s="1">
        <f t="shared" si="0"/>
        <v>1807.3030677805705</v>
      </c>
      <c r="AD15" s="1">
        <f t="shared" si="0"/>
        <v>1951.8873132030162</v>
      </c>
      <c r="AE15" s="1">
        <f t="shared" si="0"/>
        <v>2108.0382982592578</v>
      </c>
      <c r="AF15" s="1">
        <f t="shared" si="0"/>
        <v>2276.6813621199985</v>
      </c>
      <c r="AG15" s="1">
        <f t="shared" si="0"/>
        <v>2458.8158710895977</v>
      </c>
      <c r="AH15" s="1">
        <f t="shared" si="0"/>
        <v>2655.5211407767665</v>
      </c>
      <c r="AI15" s="1">
        <f t="shared" si="0"/>
        <v>2867.9628320389074</v>
      </c>
      <c r="AJ15" s="1">
        <f t="shared" si="0"/>
        <v>3097.3998586020207</v>
      </c>
      <c r="AK15" s="1">
        <f t="shared" si="0"/>
        <v>3345.1918472901821</v>
      </c>
      <c r="AL15" s="1">
        <f t="shared" si="0"/>
        <v>3612.8071950733975</v>
      </c>
    </row>
    <row r="16" spans="1:38" x14ac:dyDescent="0.25">
      <c r="A16" s="1" t="s">
        <v>205</v>
      </c>
      <c r="B16" s="1">
        <v>0</v>
      </c>
      <c r="C16" s="1">
        <v>0</v>
      </c>
      <c r="D16" s="1">
        <f>IFERROR(C15*$B$5,0)</f>
        <v>78.759390437111136</v>
      </c>
      <c r="E16" s="1">
        <f>IFERROR(C15*$B$6 + D15*$B$5, 0)</f>
        <v>165.32913045169173</v>
      </c>
      <c r="F16" s="1">
        <f>IFERROR(C15*$B$7 + D15*$B$6 + E15*$B$5, 0)</f>
        <v>260.36298280924422</v>
      </c>
      <c r="G16" s="1">
        <f t="shared" ref="G16:AL16" si="1">IFERROR(D15*$B$7 + E15*$B$6 + F15*$B$5, 0)</f>
        <v>281.19202143398383</v>
      </c>
      <c r="H16" s="1">
        <f t="shared" si="1"/>
        <v>303.68738314870251</v>
      </c>
      <c r="I16" s="1">
        <f t="shared" si="1"/>
        <v>327.98237380059879</v>
      </c>
      <c r="J16" s="1">
        <f t="shared" si="1"/>
        <v>354.22096370464669</v>
      </c>
      <c r="K16" s="1">
        <f t="shared" si="1"/>
        <v>382.55864080101844</v>
      </c>
      <c r="L16" s="1">
        <f t="shared" si="1"/>
        <v>413.16333206509989</v>
      </c>
      <c r="M16" s="1">
        <f t="shared" si="1"/>
        <v>446.21639863030799</v>
      </c>
      <c r="N16" s="1">
        <f t="shared" si="1"/>
        <v>481.91371052073271</v>
      </c>
      <c r="O16" s="1">
        <f t="shared" si="1"/>
        <v>520.46680736239136</v>
      </c>
      <c r="P16" s="1">
        <f t="shared" si="1"/>
        <v>562.10415195138262</v>
      </c>
      <c r="Q16" s="1">
        <f t="shared" si="1"/>
        <v>607.07248410749332</v>
      </c>
      <c r="R16" s="1">
        <f t="shared" si="1"/>
        <v>655.6382828360928</v>
      </c>
      <c r="S16" s="1">
        <f t="shared" si="1"/>
        <v>708.0893454629803</v>
      </c>
      <c r="T16" s="1">
        <f t="shared" si="1"/>
        <v>764.73649310001883</v>
      </c>
      <c r="U16" s="1">
        <f t="shared" si="1"/>
        <v>825.91541254802019</v>
      </c>
      <c r="V16" s="1">
        <f t="shared" si="1"/>
        <v>891.98864555186174</v>
      </c>
      <c r="W16" s="1">
        <f t="shared" si="1"/>
        <v>963.34773719601094</v>
      </c>
      <c r="X16" s="1">
        <f t="shared" si="1"/>
        <v>1040.4155561716918</v>
      </c>
      <c r="Y16" s="1">
        <f t="shared" si="1"/>
        <v>1123.6488006654274</v>
      </c>
      <c r="Z16" s="1">
        <f t="shared" si="1"/>
        <v>1213.5407047186616</v>
      </c>
      <c r="AA16" s="1">
        <f t="shared" si="1"/>
        <v>1310.6239610961547</v>
      </c>
      <c r="AB16" s="1">
        <f t="shared" si="1"/>
        <v>1415.4738779838472</v>
      </c>
      <c r="AC16" s="1">
        <f t="shared" si="1"/>
        <v>1528.7117882225552</v>
      </c>
      <c r="AD16" s="1">
        <f t="shared" si="1"/>
        <v>1651.0087312803596</v>
      </c>
      <c r="AE16" s="1">
        <f t="shared" si="1"/>
        <v>1783.0894297827886</v>
      </c>
      <c r="AF16" s="1">
        <f t="shared" si="1"/>
        <v>1925.7365841654118</v>
      </c>
      <c r="AG16" s="1">
        <f t="shared" si="1"/>
        <v>2079.7955108986453</v>
      </c>
      <c r="AH16" s="1">
        <f t="shared" si="1"/>
        <v>2246.1791517705365</v>
      </c>
      <c r="AI16" s="1">
        <f t="shared" si="1"/>
        <v>2425.8734839121794</v>
      </c>
      <c r="AJ16" s="1">
        <f t="shared" si="1"/>
        <v>2619.9433626251539</v>
      </c>
      <c r="AK16" s="1">
        <f t="shared" si="1"/>
        <v>2829.5388316351664</v>
      </c>
      <c r="AL16" s="1">
        <f t="shared" si="1"/>
        <v>3055.90193816598</v>
      </c>
    </row>
    <row r="17" spans="1:38" x14ac:dyDescent="0.25">
      <c r="A17" s="1" t="s">
        <v>207</v>
      </c>
      <c r="B17" s="1">
        <v>0</v>
      </c>
      <c r="C17" s="1">
        <f>B20</f>
        <v>0</v>
      </c>
      <c r="D17" s="1">
        <f t="shared" ref="D17:AL17" si="2">C20</f>
        <v>244.3505625</v>
      </c>
      <c r="E17" s="1">
        <f t="shared" si="2"/>
        <v>429.48977956288888</v>
      </c>
      <c r="F17" s="1">
        <f t="shared" si="2"/>
        <v>548.39214238229169</v>
      </c>
      <c r="G17" s="1">
        <f t="shared" si="2"/>
        <v>594.47125867977149</v>
      </c>
      <c r="H17" s="1">
        <f t="shared" si="2"/>
        <v>643.96717604233856</v>
      </c>
      <c r="I17" s="1">
        <f t="shared" si="2"/>
        <v>697.41572838356183</v>
      </c>
      <c r="J17" s="1">
        <f t="shared" si="2"/>
        <v>755.13398577235796</v>
      </c>
      <c r="K17" s="1">
        <f t="shared" si="2"/>
        <v>817.46354705136639</v>
      </c>
      <c r="L17" s="1">
        <f t="shared" si="2"/>
        <v>884.77333623123616</v>
      </c>
      <c r="M17" s="1">
        <f t="shared" si="2"/>
        <v>957.46179117193219</v>
      </c>
      <c r="N17" s="1">
        <f t="shared" si="2"/>
        <v>1035.9592246994137</v>
      </c>
      <c r="O17" s="1">
        <f t="shared" si="2"/>
        <v>1120.7303746031416</v>
      </c>
      <c r="P17" s="1">
        <f t="shared" si="2"/>
        <v>1212.2771576333594</v>
      </c>
      <c r="Q17" s="1">
        <f t="shared" si="2"/>
        <v>1311.141643818155</v>
      </c>
      <c r="R17" s="1">
        <f t="shared" si="2"/>
        <v>1417.9092687258867</v>
      </c>
      <c r="S17" s="1">
        <f t="shared" si="2"/>
        <v>1533.2123027086036</v>
      </c>
      <c r="T17" s="1">
        <f t="shared" si="2"/>
        <v>1657.7335976849388</v>
      </c>
      <c r="U17" s="1">
        <f t="shared" si="2"/>
        <v>1792.2106336656323</v>
      </c>
      <c r="V17" s="1">
        <f t="shared" si="2"/>
        <v>1937.4398890010966</v>
      </c>
      <c r="W17" s="1">
        <f t="shared" si="2"/>
        <v>2094.2815602487844</v>
      </c>
      <c r="X17" s="1">
        <f t="shared" si="2"/>
        <v>2263.6646596299502</v>
      </c>
      <c r="Y17" s="1">
        <f t="shared" si="2"/>
        <v>2446.5925202829444</v>
      </c>
      <c r="Z17" s="1">
        <f t="shared" si="2"/>
        <v>2644.1487419367782</v>
      </c>
      <c r="AA17" s="1">
        <f t="shared" si="2"/>
        <v>2857.50361223857</v>
      </c>
      <c r="AB17" s="1">
        <f t="shared" si="2"/>
        <v>3087.9210417871845</v>
      </c>
      <c r="AC17" s="1">
        <f t="shared" si="2"/>
        <v>3336.7660539695662</v>
      </c>
      <c r="AD17" s="1">
        <f t="shared" si="2"/>
        <v>3605.5128739839743</v>
      </c>
      <c r="AE17" s="1">
        <f t="shared" si="2"/>
        <v>3895.7536649850813</v>
      </c>
      <c r="AF17" s="1">
        <f t="shared" si="2"/>
        <v>4209.2079631206752</v>
      </c>
      <c r="AG17" s="1">
        <f t="shared" si="2"/>
        <v>4547.7328673713</v>
      </c>
      <c r="AH17" s="1">
        <f t="shared" si="2"/>
        <v>4913.3340445770591</v>
      </c>
      <c r="AI17" s="1">
        <f t="shared" si="2"/>
        <v>5308.1776148665795</v>
      </c>
      <c r="AJ17" s="1">
        <f t="shared" si="2"/>
        <v>5734.6029879202688</v>
      </c>
      <c r="AK17" s="1">
        <f t="shared" si="2"/>
        <v>6195.1367261346541</v>
      </c>
      <c r="AL17" s="1">
        <f t="shared" si="2"/>
        <v>6692.5075168398525</v>
      </c>
    </row>
    <row r="18" spans="1:38" x14ac:dyDescent="0.25">
      <c r="A18" s="1" t="s">
        <v>206</v>
      </c>
      <c r="B18" s="1">
        <v>0</v>
      </c>
      <c r="C18" s="1">
        <f t="shared" ref="C18:AL18" si="3">B17*portfolio_PD/12</f>
        <v>0</v>
      </c>
      <c r="D18" s="1">
        <f t="shared" si="3"/>
        <v>0</v>
      </c>
      <c r="E18" s="1">
        <f t="shared" si="3"/>
        <v>1.7505681548437499</v>
      </c>
      <c r="F18" s="1">
        <f t="shared" si="3"/>
        <v>3.0769363624184631</v>
      </c>
      <c r="G18" s="1">
        <f t="shared" si="3"/>
        <v>3.928772706717135</v>
      </c>
      <c r="H18" s="1">
        <f t="shared" si="3"/>
        <v>4.2588911757249965</v>
      </c>
      <c r="I18" s="1">
        <f t="shared" si="3"/>
        <v>4.6134881770299874</v>
      </c>
      <c r="J18" s="1">
        <f t="shared" si="3"/>
        <v>4.9964025140945676</v>
      </c>
      <c r="K18" s="1">
        <f t="shared" si="3"/>
        <v>5.409905729737468</v>
      </c>
      <c r="L18" s="1">
        <f t="shared" si="3"/>
        <v>5.856445095000498</v>
      </c>
      <c r="M18" s="1">
        <f t="shared" si="3"/>
        <v>6.3386636429832812</v>
      </c>
      <c r="N18" s="1">
        <f t="shared" si="3"/>
        <v>6.8594158489209178</v>
      </c>
      <c r="O18" s="1">
        <f t="shared" si="3"/>
        <v>7.4217845456173839</v>
      </c>
      <c r="P18" s="1">
        <f t="shared" si="3"/>
        <v>8.0290991920526746</v>
      </c>
      <c r="Q18" s="1">
        <f t="shared" si="3"/>
        <v>8.6849556034783255</v>
      </c>
      <c r="R18" s="1">
        <f t="shared" si="3"/>
        <v>9.393237259920566</v>
      </c>
      <c r="S18" s="1">
        <f t="shared" si="3"/>
        <v>10.158138319363706</v>
      </c>
      <c r="T18" s="1">
        <f t="shared" si="3"/>
        <v>10.984188471988221</v>
      </c>
      <c r="U18" s="1">
        <f t="shared" si="3"/>
        <v>11.876279782747851</v>
      </c>
      <c r="V18" s="1">
        <f t="shared" si="3"/>
        <v>12.839695681352866</v>
      </c>
      <c r="W18" s="1">
        <f t="shared" si="3"/>
        <v>13.880142271452023</v>
      </c>
      <c r="X18" s="1">
        <f t="shared" si="3"/>
        <v>15.003782144549</v>
      </c>
      <c r="Y18" s="1">
        <f t="shared" si="3"/>
        <v>16.217270899032236</v>
      </c>
      <c r="Z18" s="1">
        <f t="shared" si="3"/>
        <v>17.52779658072706</v>
      </c>
      <c r="AA18" s="1">
        <f t="shared" si="3"/>
        <v>18.943122278692069</v>
      </c>
      <c r="AB18" s="1">
        <f t="shared" si="3"/>
        <v>20.471632128679158</v>
      </c>
      <c r="AC18" s="1">
        <f t="shared" si="3"/>
        <v>22.122380996870358</v>
      </c>
      <c r="AD18" s="1">
        <f t="shared" si="3"/>
        <v>23.905148138313635</v>
      </c>
      <c r="AE18" s="1">
        <f t="shared" si="3"/>
        <v>25.830495148033524</v>
      </c>
      <c r="AF18" s="1">
        <f t="shared" si="3"/>
        <v>27.909828548230621</v>
      </c>
      <c r="AG18" s="1">
        <f t="shared" si="3"/>
        <v>30.155467382457037</v>
      </c>
      <c r="AH18" s="1">
        <f t="shared" si="3"/>
        <v>32.580716217325893</v>
      </c>
      <c r="AI18" s="1">
        <f t="shared" si="3"/>
        <v>35.199943984357482</v>
      </c>
      <c r="AJ18" s="1">
        <f t="shared" si="3"/>
        <v>38.028669129173323</v>
      </c>
      <c r="AK18" s="1">
        <f t="shared" si="3"/>
        <v>41.083651572625463</v>
      </c>
      <c r="AL18" s="1">
        <f t="shared" si="3"/>
        <v>44.382992028816354</v>
      </c>
    </row>
    <row r="19" spans="1:38" x14ac:dyDescent="0.25">
      <c r="A19" s="1" t="s">
        <v>208</v>
      </c>
      <c r="B19" s="1">
        <v>0</v>
      </c>
      <c r="C19" s="1">
        <f t="shared" ref="C19:AL19" si="4">C18*(1-portfolio_LGD)</f>
        <v>0</v>
      </c>
      <c r="D19" s="1">
        <f t="shared" si="4"/>
        <v>0</v>
      </c>
      <c r="E19" s="1">
        <f t="shared" si="4"/>
        <v>0.97156532593828115</v>
      </c>
      <c r="F19" s="1">
        <f t="shared" si="4"/>
        <v>1.7076996811422469</v>
      </c>
      <c r="G19" s="1">
        <f t="shared" si="4"/>
        <v>2.1804688522280098</v>
      </c>
      <c r="H19" s="1">
        <f t="shared" si="4"/>
        <v>2.363684602527373</v>
      </c>
      <c r="I19" s="1">
        <f t="shared" si="4"/>
        <v>2.5604859382516425</v>
      </c>
      <c r="J19" s="1">
        <f t="shared" si="4"/>
        <v>2.7730033953224846</v>
      </c>
      <c r="K19" s="1">
        <f t="shared" si="4"/>
        <v>3.0024976800042942</v>
      </c>
      <c r="L19" s="1">
        <f t="shared" si="4"/>
        <v>3.2503270277252763</v>
      </c>
      <c r="M19" s="1">
        <f t="shared" si="4"/>
        <v>3.5179583218557209</v>
      </c>
      <c r="N19" s="1">
        <f t="shared" si="4"/>
        <v>3.806975796151109</v>
      </c>
      <c r="O19" s="1">
        <f t="shared" si="4"/>
        <v>4.1190904228176475</v>
      </c>
      <c r="P19" s="1">
        <f t="shared" si="4"/>
        <v>4.4561500515892343</v>
      </c>
      <c r="Q19" s="1">
        <f t="shared" si="4"/>
        <v>4.8201503599304703</v>
      </c>
      <c r="R19" s="1">
        <f t="shared" si="4"/>
        <v>5.2132466792559136</v>
      </c>
      <c r="S19" s="1">
        <f t="shared" si="4"/>
        <v>5.6377667672468563</v>
      </c>
      <c r="T19" s="1">
        <f t="shared" si="4"/>
        <v>6.0962246019534616</v>
      </c>
      <c r="U19" s="1">
        <f t="shared" si="4"/>
        <v>6.5913352794250564</v>
      </c>
      <c r="V19" s="1">
        <f t="shared" si="4"/>
        <v>7.1260311031508401</v>
      </c>
      <c r="W19" s="1">
        <f t="shared" si="4"/>
        <v>7.7034789606558718</v>
      </c>
      <c r="X19" s="1">
        <f t="shared" si="4"/>
        <v>8.327099090224694</v>
      </c>
      <c r="Y19" s="1">
        <f t="shared" si="4"/>
        <v>9.0005853489628898</v>
      </c>
      <c r="Z19" s="1">
        <f t="shared" si="4"/>
        <v>9.7279271023035179</v>
      </c>
      <c r="AA19" s="1">
        <f t="shared" si="4"/>
        <v>10.513432864674098</v>
      </c>
      <c r="AB19" s="1">
        <f t="shared" si="4"/>
        <v>11.36175583141693</v>
      </c>
      <c r="AC19" s="1">
        <f t="shared" si="4"/>
        <v>12.277921453263048</v>
      </c>
      <c r="AD19" s="1">
        <f t="shared" si="4"/>
        <v>13.267357216764065</v>
      </c>
      <c r="AE19" s="1">
        <f t="shared" si="4"/>
        <v>14.335924807158603</v>
      </c>
      <c r="AF19" s="1">
        <f t="shared" si="4"/>
        <v>15.489954844267993</v>
      </c>
      <c r="AG19" s="1">
        <f t="shared" si="4"/>
        <v>16.736284397263653</v>
      </c>
      <c r="AH19" s="1">
        <f t="shared" si="4"/>
        <v>18.082297500615869</v>
      </c>
      <c r="AI19" s="1">
        <f t="shared" si="4"/>
        <v>19.535968911318399</v>
      </c>
      <c r="AJ19" s="1">
        <f t="shared" si="4"/>
        <v>21.105911366691192</v>
      </c>
      <c r="AK19" s="1">
        <f t="shared" si="4"/>
        <v>22.801426622807128</v>
      </c>
      <c r="AL19" s="1">
        <f t="shared" si="4"/>
        <v>24.632560575993072</v>
      </c>
    </row>
    <row r="20" spans="1:38" x14ac:dyDescent="0.25">
      <c r="A20" s="1" t="s">
        <v>209</v>
      </c>
      <c r="B20" s="1">
        <v>0</v>
      </c>
      <c r="C20" s="1">
        <f>C17+C15-C16-C18+C19</f>
        <v>244.3505625</v>
      </c>
      <c r="D20" s="1">
        <f t="shared" ref="D20:AL20" si="5">D17+D15-D16-D18+D19</f>
        <v>429.48977956288888</v>
      </c>
      <c r="E20" s="1">
        <f t="shared" si="5"/>
        <v>548.39214238229169</v>
      </c>
      <c r="F20" s="1">
        <f t="shared" si="5"/>
        <v>594.47125867977149</v>
      </c>
      <c r="G20" s="1">
        <f t="shared" si="5"/>
        <v>643.96717604233856</v>
      </c>
      <c r="H20" s="1">
        <f t="shared" si="5"/>
        <v>697.41572838356183</v>
      </c>
      <c r="I20" s="1">
        <f t="shared" si="5"/>
        <v>755.13398577235796</v>
      </c>
      <c r="J20" s="1">
        <f t="shared" si="5"/>
        <v>817.46354705136639</v>
      </c>
      <c r="K20" s="1">
        <f t="shared" si="5"/>
        <v>884.77333623123616</v>
      </c>
      <c r="L20" s="1">
        <f t="shared" si="5"/>
        <v>957.46179117193219</v>
      </c>
      <c r="M20" s="1">
        <f t="shared" si="5"/>
        <v>1035.9592246994137</v>
      </c>
      <c r="N20" s="1">
        <f t="shared" si="5"/>
        <v>1120.7303746031416</v>
      </c>
      <c r="O20" s="1">
        <f t="shared" si="5"/>
        <v>1212.2771576333594</v>
      </c>
      <c r="P20" s="1">
        <f t="shared" si="5"/>
        <v>1311.141643818155</v>
      </c>
      <c r="Q20" s="1">
        <f t="shared" si="5"/>
        <v>1417.9092687258867</v>
      </c>
      <c r="R20" s="1">
        <f t="shared" si="5"/>
        <v>1533.2123027086036</v>
      </c>
      <c r="S20" s="1">
        <f t="shared" si="5"/>
        <v>1657.7335976849388</v>
      </c>
      <c r="T20" s="1">
        <f t="shared" si="5"/>
        <v>1792.2106336656323</v>
      </c>
      <c r="U20" s="1">
        <f t="shared" si="5"/>
        <v>1937.4398890010966</v>
      </c>
      <c r="V20" s="1">
        <f t="shared" si="5"/>
        <v>2094.2815602487844</v>
      </c>
      <c r="W20" s="1">
        <f t="shared" si="5"/>
        <v>2263.6646596299502</v>
      </c>
      <c r="X20" s="1">
        <f t="shared" si="5"/>
        <v>2446.5925202829444</v>
      </c>
      <c r="Y20" s="1">
        <f t="shared" si="5"/>
        <v>2644.1487419367782</v>
      </c>
      <c r="Z20" s="1">
        <f t="shared" si="5"/>
        <v>2857.50361223857</v>
      </c>
      <c r="AA20" s="1">
        <f t="shared" si="5"/>
        <v>3087.9210417871845</v>
      </c>
      <c r="AB20" s="1">
        <f t="shared" si="5"/>
        <v>3336.7660539695662</v>
      </c>
      <c r="AC20" s="1">
        <f t="shared" si="5"/>
        <v>3605.5128739839743</v>
      </c>
      <c r="AD20" s="1">
        <f t="shared" si="5"/>
        <v>3895.7536649850813</v>
      </c>
      <c r="AE20" s="1">
        <f t="shared" si="5"/>
        <v>4209.2079631206752</v>
      </c>
      <c r="AF20" s="1">
        <f t="shared" si="5"/>
        <v>4547.7328673713</v>
      </c>
      <c r="AG20" s="1">
        <f t="shared" si="5"/>
        <v>4913.3340445770591</v>
      </c>
      <c r="AH20" s="1">
        <f t="shared" si="5"/>
        <v>5308.1776148665795</v>
      </c>
      <c r="AI20" s="1">
        <f t="shared" si="5"/>
        <v>5734.6029879202688</v>
      </c>
      <c r="AJ20" s="1">
        <f t="shared" si="5"/>
        <v>6195.1367261346541</v>
      </c>
      <c r="AK20" s="1">
        <f t="shared" si="5"/>
        <v>6692.5075168398525</v>
      </c>
      <c r="AL20" s="1">
        <f t="shared" si="5"/>
        <v>7229.6623422944467</v>
      </c>
    </row>
    <row r="22" spans="1:38" x14ac:dyDescent="0.25">
      <c r="A22" s="1" t="s">
        <v>210</v>
      </c>
    </row>
    <row r="23" spans="1:38" x14ac:dyDescent="0.25">
      <c r="A23" s="1" t="s">
        <v>211</v>
      </c>
      <c r="B23" s="1">
        <v>0</v>
      </c>
      <c r="C23" s="1">
        <f>C17*(RISK_SEGMENTS!$G$9/12)</f>
        <v>0</v>
      </c>
      <c r="D23" s="1">
        <f>D17*(RISK_SEGMENTS!$G$9/12)</f>
        <v>6.4805159539054698</v>
      </c>
      <c r="E23" s="1">
        <f>E17*(RISK_SEGMENTS!$G$9/12)</f>
        <v>11.390664871076959</v>
      </c>
      <c r="F23" s="1">
        <f>F17*(RISK_SEGMENTS!$G$9/12)</f>
        <v>14.544120510075933</v>
      </c>
      <c r="G23" s="1">
        <f>G17*(RISK_SEGMENTS!$G$9/12)</f>
        <v>15.76620260905896</v>
      </c>
      <c r="H23" s="1">
        <f>H17*(RISK_SEGMENTS!$G$9/12)</f>
        <v>17.07890301309958</v>
      </c>
      <c r="I23" s="1">
        <f>I17*(RISK_SEGMENTS!$G$9/12)</f>
        <v>18.496432781055194</v>
      </c>
      <c r="J23" s="1">
        <f>J17*(RISK_SEGMENTS!$G$9/12)</f>
        <v>20.027201051088195</v>
      </c>
      <c r="K23" s="1">
        <f>K17*(RISK_SEGMENTS!$G$9/12)</f>
        <v>21.680267498473775</v>
      </c>
      <c r="L23" s="1">
        <f>L17*(RISK_SEGMENTS!$G$9/12)</f>
        <v>23.465416499856406</v>
      </c>
      <c r="M23" s="1">
        <f>M17*(RISK_SEGMENTS!$G$9/12)</f>
        <v>25.393215180114897</v>
      </c>
      <c r="N23" s="1">
        <f>N17*(RISK_SEGMENTS!$G$9/12)</f>
        <v>27.475076032452723</v>
      </c>
      <c r="O23" s="1">
        <f>O17*(RISK_SEGMENTS!$G$9/12)</f>
        <v>29.723324547870082</v>
      </c>
      <c r="P23" s="1">
        <f>P17*(RISK_SEGMENTS!$G$9/12)</f>
        <v>32.151272254992911</v>
      </c>
      <c r="Q23" s="1">
        <f>Q17*(RISK_SEGMENTS!$G$9/12)</f>
        <v>34.773295603088272</v>
      </c>
      <c r="R23" s="1">
        <f>R17*(RISK_SEGMENTS!$G$9/12)</f>
        <v>37.604921155720881</v>
      </c>
      <c r="S23" s="1">
        <f>S17*(RISK_SEGMENTS!$G$9/12)</f>
        <v>40.66291759990218</v>
      </c>
      <c r="T23" s="1">
        <f>T17*(RISK_SEGMENTS!$G$9/12)</f>
        <v>43.965395115971369</v>
      </c>
      <c r="U23" s="1">
        <f>U17*(RISK_SEGMENTS!$G$9/12)</f>
        <v>47.531912697066787</v>
      </c>
      <c r="V23" s="1">
        <f>V17*(RISK_SEGMENTS!$G$9/12)</f>
        <v>51.383594054155076</v>
      </c>
      <c r="W23" s="1">
        <f>W17*(RISK_SEGMENTS!$G$9/12)</f>
        <v>55.543252793462614</v>
      </c>
      <c r="X23" s="1">
        <f>X17*(RISK_SEGMENTS!$G$9/12)</f>
        <v>60.035527608101525</v>
      </c>
      <c r="Y23" s="1">
        <f>Y17*(RISK_SEGMENTS!$G$9/12)</f>
        <v>64.887028285025593</v>
      </c>
      <c r="Z23" s="1">
        <f>Z17*(RISK_SEGMENTS!$G$9/12)</f>
        <v>70.126493392542798</v>
      </c>
      <c r="AA23" s="1">
        <f>AA17*(RISK_SEGMENTS!$G$9/12)</f>
        <v>75.784960582828873</v>
      </c>
      <c r="AB23" s="1">
        <f>AB17*(RISK_SEGMENTS!$G$9/12)</f>
        <v>81.895950518641627</v>
      </c>
      <c r="AC23" s="1">
        <f>AC17*(RISK_SEGMENTS!$G$9/12)</f>
        <v>88.495665514172785</v>
      </c>
      <c r="AD23" s="1">
        <f>AD17*(RISK_SEGMENTS!$G$9/12)</f>
        <v>95.623204067167663</v>
      </c>
      <c r="AE23" s="1">
        <f>AE17*(RISK_SEGMENTS!$G$9/12)</f>
        <v>103.32079255361454</v>
      </c>
      <c r="AF23" s="1">
        <f>AF17*(RISK_SEGMENTS!$G$9/12)</f>
        <v>111.63403545800915</v>
      </c>
      <c r="AG23" s="1">
        <f>AG17*(RISK_SEGMENTS!$G$9/12)</f>
        <v>120.61218562204037</v>
      </c>
      <c r="AH23" s="1">
        <f>AH17*(RISK_SEGMENTS!$G$9/12)</f>
        <v>130.30843611317047</v>
      </c>
      <c r="AI23" s="1">
        <f>AI17*(RISK_SEGMENTS!$G$9/12)</f>
        <v>140.78023544270232</v>
      </c>
      <c r="AJ23" s="1">
        <f>AJ17*(RISK_SEGMENTS!$G$9/12)</f>
        <v>152.08962800129129</v>
      </c>
      <c r="AK23" s="1">
        <f>AK17*(RISK_SEGMENTS!$G$9/12)</f>
        <v>164.30362172929856</v>
      </c>
      <c r="AL23" s="1">
        <f>AL17*(RISK_SEGMENTS!$G$9/12)</f>
        <v>177.49458520077252</v>
      </c>
    </row>
    <row r="24" spans="1:38" x14ac:dyDescent="0.25">
      <c r="A24" s="1" t="s">
        <v>212</v>
      </c>
      <c r="B24" s="1">
        <v>0</v>
      </c>
      <c r="C24" s="1">
        <f t="shared" ref="C24:AL24" si="6">C15*origination_fee</f>
        <v>14.66103375</v>
      </c>
      <c r="D24" s="1">
        <f t="shared" si="6"/>
        <v>15.833916450000004</v>
      </c>
      <c r="E24" s="1">
        <f t="shared" si="6"/>
        <v>17.100629766000004</v>
      </c>
      <c r="F24" s="1">
        <f t="shared" si="6"/>
        <v>18.468680147280011</v>
      </c>
      <c r="G24" s="1">
        <f t="shared" si="6"/>
        <v>19.946174559062406</v>
      </c>
      <c r="H24" s="1">
        <f t="shared" si="6"/>
        <v>21.541868523787404</v>
      </c>
      <c r="I24" s="1">
        <f t="shared" si="6"/>
        <v>23.265218005690397</v>
      </c>
      <c r="J24" s="1">
        <f t="shared" si="6"/>
        <v>25.126435446145628</v>
      </c>
      <c r="K24" s="1">
        <f t="shared" si="6"/>
        <v>27.136550281837284</v>
      </c>
      <c r="L24" s="1">
        <f t="shared" si="6"/>
        <v>29.307474304384268</v>
      </c>
      <c r="M24" s="1">
        <f t="shared" si="6"/>
        <v>31.65207224873501</v>
      </c>
      <c r="N24" s="1">
        <f t="shared" si="6"/>
        <v>34.184238028633814</v>
      </c>
      <c r="O24" s="1">
        <f t="shared" si="6"/>
        <v>36.91897707092452</v>
      </c>
      <c r="P24" s="1">
        <f t="shared" si="6"/>
        <v>39.872495236598489</v>
      </c>
      <c r="Q24" s="1">
        <f t="shared" si="6"/>
        <v>43.062294855526368</v>
      </c>
      <c r="R24" s="1">
        <f t="shared" si="6"/>
        <v>46.507278443968481</v>
      </c>
      <c r="S24" s="1">
        <f t="shared" si="6"/>
        <v>50.227860719485953</v>
      </c>
      <c r="T24" s="1">
        <f t="shared" si="6"/>
        <v>54.246089577044835</v>
      </c>
      <c r="U24" s="1">
        <f t="shared" si="6"/>
        <v>58.585776743208427</v>
      </c>
      <c r="V24" s="1">
        <f t="shared" si="6"/>
        <v>63.272638882665106</v>
      </c>
      <c r="W24" s="1">
        <f t="shared" si="6"/>
        <v>68.334449993278326</v>
      </c>
      <c r="X24" s="1">
        <f t="shared" si="6"/>
        <v>73.801205992740591</v>
      </c>
      <c r="Y24" s="1">
        <f t="shared" si="6"/>
        <v>79.705302472159858</v>
      </c>
      <c r="Z24" s="1">
        <f t="shared" si="6"/>
        <v>86.08172666993265</v>
      </c>
      <c r="AA24" s="1">
        <f t="shared" si="6"/>
        <v>92.968264803527248</v>
      </c>
      <c r="AB24" s="1">
        <f t="shared" si="6"/>
        <v>100.40572598780948</v>
      </c>
      <c r="AC24" s="1">
        <f t="shared" si="6"/>
        <v>108.43818406683422</v>
      </c>
      <c r="AD24" s="1">
        <f t="shared" si="6"/>
        <v>117.11323879218097</v>
      </c>
      <c r="AE24" s="1">
        <f t="shared" si="6"/>
        <v>126.48229789555546</v>
      </c>
      <c r="AF24" s="1">
        <f t="shared" si="6"/>
        <v>136.60088172719992</v>
      </c>
      <c r="AG24" s="1">
        <f t="shared" si="6"/>
        <v>147.52895226537586</v>
      </c>
      <c r="AH24" s="1">
        <f t="shared" si="6"/>
        <v>159.33126844660597</v>
      </c>
      <c r="AI24" s="1">
        <f t="shared" si="6"/>
        <v>172.07776992233443</v>
      </c>
      <c r="AJ24" s="1">
        <f t="shared" si="6"/>
        <v>185.84399151612124</v>
      </c>
      <c r="AK24" s="1">
        <f t="shared" si="6"/>
        <v>200.71151083741091</v>
      </c>
      <c r="AL24" s="1">
        <f t="shared" si="6"/>
        <v>216.76843170440384</v>
      </c>
    </row>
    <row r="25" spans="1:38" x14ac:dyDescent="0.25">
      <c r="A25" s="1" t="s">
        <v>213</v>
      </c>
      <c r="B25" s="1">
        <v>0</v>
      </c>
      <c r="C25" s="1">
        <f>C23+C24</f>
        <v>14.66103375</v>
      </c>
      <c r="D25" s="1">
        <f t="shared" ref="D25:AL25" si="7">D23+D24</f>
        <v>22.314432403905474</v>
      </c>
      <c r="E25" s="1">
        <f t="shared" si="7"/>
        <v>28.491294637076962</v>
      </c>
      <c r="F25" s="1">
        <f t="shared" si="7"/>
        <v>33.012800657355946</v>
      </c>
      <c r="G25" s="1">
        <f t="shared" si="7"/>
        <v>35.712377168121364</v>
      </c>
      <c r="H25" s="1">
        <f t="shared" si="7"/>
        <v>38.620771536886984</v>
      </c>
      <c r="I25" s="1">
        <f t="shared" si="7"/>
        <v>41.761650786745591</v>
      </c>
      <c r="J25" s="1">
        <f t="shared" si="7"/>
        <v>45.153636497233819</v>
      </c>
      <c r="K25" s="1">
        <f t="shared" si="7"/>
        <v>48.816817780311055</v>
      </c>
      <c r="L25" s="1">
        <f t="shared" si="7"/>
        <v>52.772890804240674</v>
      </c>
      <c r="M25" s="1">
        <f t="shared" si="7"/>
        <v>57.045287428849903</v>
      </c>
      <c r="N25" s="1">
        <f t="shared" si="7"/>
        <v>61.659314061086533</v>
      </c>
      <c r="O25" s="1">
        <f t="shared" si="7"/>
        <v>66.642301618794605</v>
      </c>
      <c r="P25" s="1">
        <f t="shared" si="7"/>
        <v>72.0237674915914</v>
      </c>
      <c r="Q25" s="1">
        <f t="shared" si="7"/>
        <v>77.835590458614632</v>
      </c>
      <c r="R25" s="1">
        <f t="shared" si="7"/>
        <v>84.112199599689362</v>
      </c>
      <c r="S25" s="1">
        <f t="shared" si="7"/>
        <v>90.890778319388133</v>
      </c>
      <c r="T25" s="1">
        <f t="shared" si="7"/>
        <v>98.211484693016203</v>
      </c>
      <c r="U25" s="1">
        <f t="shared" si="7"/>
        <v>106.11768944027521</v>
      </c>
      <c r="V25" s="1">
        <f t="shared" si="7"/>
        <v>114.65623293682017</v>
      </c>
      <c r="W25" s="1">
        <f t="shared" si="7"/>
        <v>123.87770278674094</v>
      </c>
      <c r="X25" s="1">
        <f t="shared" si="7"/>
        <v>133.83673360084211</v>
      </c>
      <c r="Y25" s="1">
        <f t="shared" si="7"/>
        <v>144.59233075718544</v>
      </c>
      <c r="Z25" s="1">
        <f t="shared" si="7"/>
        <v>156.20822006247545</v>
      </c>
      <c r="AA25" s="1">
        <f t="shared" si="7"/>
        <v>168.75322538635612</v>
      </c>
      <c r="AB25" s="1">
        <f t="shared" si="7"/>
        <v>182.30167650645109</v>
      </c>
      <c r="AC25" s="1">
        <f t="shared" si="7"/>
        <v>196.933849581007</v>
      </c>
      <c r="AD25" s="1">
        <f t="shared" si="7"/>
        <v>212.73644285934864</v>
      </c>
      <c r="AE25" s="1">
        <f t="shared" si="7"/>
        <v>229.80309044916999</v>
      </c>
      <c r="AF25" s="1">
        <f t="shared" si="7"/>
        <v>248.23491718520907</v>
      </c>
      <c r="AG25" s="1">
        <f t="shared" si="7"/>
        <v>268.14113788741622</v>
      </c>
      <c r="AH25" s="1">
        <f t="shared" si="7"/>
        <v>289.63970455977642</v>
      </c>
      <c r="AI25" s="1">
        <f t="shared" si="7"/>
        <v>312.85800536503677</v>
      </c>
      <c r="AJ25" s="1">
        <f t="shared" si="7"/>
        <v>337.93361951741252</v>
      </c>
      <c r="AK25" s="1">
        <f t="shared" si="7"/>
        <v>365.01513256670944</v>
      </c>
      <c r="AL25" s="1">
        <f t="shared" si="7"/>
        <v>394.26301690517636</v>
      </c>
    </row>
    <row r="26" spans="1:38" x14ac:dyDescent="0.25">
      <c r="A26" s="1" t="s">
        <v>214</v>
      </c>
      <c r="B26" s="1">
        <v>0</v>
      </c>
      <c r="C26" s="1">
        <f t="shared" ref="C26:AL26" si="8">-C17*(cost_of_debt/12)</f>
        <v>0</v>
      </c>
      <c r="D26" s="1">
        <f t="shared" si="8"/>
        <v>-2.8507565625</v>
      </c>
      <c r="E26" s="1">
        <f t="shared" si="8"/>
        <v>-5.0107140949003703</v>
      </c>
      <c r="F26" s="1">
        <f t="shared" si="8"/>
        <v>-6.3979083277934032</v>
      </c>
      <c r="G26" s="1">
        <f t="shared" si="8"/>
        <v>-6.9354980179306676</v>
      </c>
      <c r="H26" s="1">
        <f t="shared" si="8"/>
        <v>-7.5129503871606174</v>
      </c>
      <c r="I26" s="1">
        <f t="shared" si="8"/>
        <v>-8.1365168311415559</v>
      </c>
      <c r="J26" s="1">
        <f t="shared" si="8"/>
        <v>-8.8098965006775103</v>
      </c>
      <c r="K26" s="1">
        <f t="shared" si="8"/>
        <v>-9.5370747155992746</v>
      </c>
      <c r="L26" s="1">
        <f t="shared" si="8"/>
        <v>-10.322355589364422</v>
      </c>
      <c r="M26" s="1">
        <f t="shared" si="8"/>
        <v>-11.170387563672543</v>
      </c>
      <c r="N26" s="1">
        <f t="shared" si="8"/>
        <v>-12.086190954826494</v>
      </c>
      <c r="O26" s="1">
        <f t="shared" si="8"/>
        <v>-13.075187703703319</v>
      </c>
      <c r="P26" s="1">
        <f t="shared" si="8"/>
        <v>-14.143233505722527</v>
      </c>
      <c r="Q26" s="1">
        <f t="shared" si="8"/>
        <v>-15.296652511211809</v>
      </c>
      <c r="R26" s="1">
        <f t="shared" si="8"/>
        <v>-16.542274801802012</v>
      </c>
      <c r="S26" s="1">
        <f t="shared" si="8"/>
        <v>-17.88747686493371</v>
      </c>
      <c r="T26" s="1">
        <f t="shared" si="8"/>
        <v>-19.340225306324285</v>
      </c>
      <c r="U26" s="1">
        <f t="shared" si="8"/>
        <v>-20.909124059432376</v>
      </c>
      <c r="V26" s="1">
        <f t="shared" si="8"/>
        <v>-22.603465371679462</v>
      </c>
      <c r="W26" s="1">
        <f t="shared" si="8"/>
        <v>-24.433284869569153</v>
      </c>
      <c r="X26" s="1">
        <f t="shared" si="8"/>
        <v>-26.409421029016087</v>
      </c>
      <c r="Y26" s="1">
        <f t="shared" si="8"/>
        <v>-28.54357940330102</v>
      </c>
      <c r="Z26" s="1">
        <f t="shared" si="8"/>
        <v>-30.848401989262413</v>
      </c>
      <c r="AA26" s="1">
        <f t="shared" si="8"/>
        <v>-33.33754214278332</v>
      </c>
      <c r="AB26" s="1">
        <f t="shared" si="8"/>
        <v>-36.025745487517156</v>
      </c>
      <c r="AC26" s="1">
        <f t="shared" si="8"/>
        <v>-38.928937296311609</v>
      </c>
      <c r="AD26" s="1">
        <f t="shared" si="8"/>
        <v>-42.064316863146367</v>
      </c>
      <c r="AE26" s="1">
        <f t="shared" si="8"/>
        <v>-45.450459424825951</v>
      </c>
      <c r="AF26" s="1">
        <f t="shared" si="8"/>
        <v>-49.107426236407882</v>
      </c>
      <c r="AG26" s="1">
        <f t="shared" si="8"/>
        <v>-53.056883452665168</v>
      </c>
      <c r="AH26" s="1">
        <f t="shared" si="8"/>
        <v>-57.322230520065695</v>
      </c>
      <c r="AI26" s="1">
        <f t="shared" si="8"/>
        <v>-61.9287388401101</v>
      </c>
      <c r="AJ26" s="1">
        <f t="shared" si="8"/>
        <v>-66.903701525736466</v>
      </c>
      <c r="AK26" s="1">
        <f t="shared" si="8"/>
        <v>-72.276595138237639</v>
      </c>
      <c r="AL26" s="1">
        <f t="shared" si="8"/>
        <v>-78.079254363131611</v>
      </c>
    </row>
    <row r="27" spans="1:38" x14ac:dyDescent="0.25">
      <c r="A27" s="1" t="s">
        <v>215</v>
      </c>
      <c r="B27" s="1">
        <v>0</v>
      </c>
      <c r="C27" s="1">
        <f t="shared" ref="C27:AL27" si="9">-C15*CAC_blended/1000000</f>
        <v>-0.15589565887499998</v>
      </c>
      <c r="D27" s="1">
        <f t="shared" si="9"/>
        <v>-0.16836731158500004</v>
      </c>
      <c r="E27" s="1">
        <f t="shared" si="9"/>
        <v>-0.18183669651180004</v>
      </c>
      <c r="F27" s="1">
        <f t="shared" si="9"/>
        <v>-0.1963836322327441</v>
      </c>
      <c r="G27" s="1">
        <f t="shared" si="9"/>
        <v>-0.21209432281136359</v>
      </c>
      <c r="H27" s="1">
        <f t="shared" si="9"/>
        <v>-0.22906186863627273</v>
      </c>
      <c r="I27" s="1">
        <f t="shared" si="9"/>
        <v>-0.24738681812717456</v>
      </c>
      <c r="J27" s="1">
        <f t="shared" si="9"/>
        <v>-0.26717776357734851</v>
      </c>
      <c r="K27" s="1">
        <f t="shared" si="9"/>
        <v>-0.28855198466353649</v>
      </c>
      <c r="L27" s="1">
        <f t="shared" si="9"/>
        <v>-0.31163614343661944</v>
      </c>
      <c r="M27" s="1">
        <f t="shared" si="9"/>
        <v>-0.33656703491154893</v>
      </c>
      <c r="N27" s="1">
        <f t="shared" si="9"/>
        <v>-0.36349239770447295</v>
      </c>
      <c r="O27" s="1">
        <f t="shared" si="9"/>
        <v>-0.39257178952083072</v>
      </c>
      <c r="P27" s="1">
        <f t="shared" si="9"/>
        <v>-0.42397753268249727</v>
      </c>
      <c r="Q27" s="1">
        <f t="shared" si="9"/>
        <v>-0.4578957352970971</v>
      </c>
      <c r="R27" s="1">
        <f t="shared" si="9"/>
        <v>-0.49452739412086488</v>
      </c>
      <c r="S27" s="1">
        <f t="shared" si="9"/>
        <v>-0.53408958565053399</v>
      </c>
      <c r="T27" s="1">
        <f t="shared" si="9"/>
        <v>-0.57681675250257669</v>
      </c>
      <c r="U27" s="1">
        <f t="shared" si="9"/>
        <v>-0.62296209270278291</v>
      </c>
      <c r="V27" s="1">
        <f t="shared" si="9"/>
        <v>-0.67279906011900559</v>
      </c>
      <c r="W27" s="1">
        <f t="shared" si="9"/>
        <v>-0.72662298492852617</v>
      </c>
      <c r="X27" s="1">
        <f t="shared" si="9"/>
        <v>-0.7847528237228083</v>
      </c>
      <c r="Y27" s="1">
        <f t="shared" si="9"/>
        <v>-0.84753304962063314</v>
      </c>
      <c r="Z27" s="1">
        <f t="shared" si="9"/>
        <v>-0.91533569359028388</v>
      </c>
      <c r="AA27" s="1">
        <f t="shared" si="9"/>
        <v>-0.9885625490775064</v>
      </c>
      <c r="AB27" s="1">
        <f t="shared" si="9"/>
        <v>-1.0676475530037075</v>
      </c>
      <c r="AC27" s="1">
        <f t="shared" si="9"/>
        <v>-1.153059357244004</v>
      </c>
      <c r="AD27" s="1">
        <f t="shared" si="9"/>
        <v>-1.2453041058235244</v>
      </c>
      <c r="AE27" s="1">
        <f t="shared" si="9"/>
        <v>-1.3449284342894066</v>
      </c>
      <c r="AF27" s="1">
        <f t="shared" si="9"/>
        <v>-1.452522709032559</v>
      </c>
      <c r="AG27" s="1">
        <f t="shared" si="9"/>
        <v>-1.5687245257551632</v>
      </c>
      <c r="AH27" s="1">
        <f t="shared" si="9"/>
        <v>-1.6942224878155772</v>
      </c>
      <c r="AI27" s="1">
        <f t="shared" si="9"/>
        <v>-1.8297602868408229</v>
      </c>
      <c r="AJ27" s="1">
        <f t="shared" si="9"/>
        <v>-1.9761411097880892</v>
      </c>
      <c r="AK27" s="1">
        <f t="shared" si="9"/>
        <v>-2.134232398571136</v>
      </c>
      <c r="AL27" s="1">
        <f t="shared" si="9"/>
        <v>-2.3049709904568276</v>
      </c>
    </row>
    <row r="28" spans="1:38" x14ac:dyDescent="0.25">
      <c r="A28" s="1" t="s">
        <v>216</v>
      </c>
      <c r="B28" s="1">
        <v>0</v>
      </c>
      <c r="C28" s="1">
        <f>-C17*0.005</f>
        <v>0</v>
      </c>
      <c r="D28" s="1">
        <f t="shared" ref="D28:AL28" si="10">-D17*0.005</f>
        <v>-1.2217528124999999</v>
      </c>
      <c r="E28" s="1">
        <f t="shared" si="10"/>
        <v>-2.1474488978144444</v>
      </c>
      <c r="F28" s="1">
        <f t="shared" si="10"/>
        <v>-2.7419607119114584</v>
      </c>
      <c r="G28" s="1">
        <f t="shared" si="10"/>
        <v>-2.9723562933988577</v>
      </c>
      <c r="H28" s="1">
        <f t="shared" si="10"/>
        <v>-3.2198358802116931</v>
      </c>
      <c r="I28" s="1">
        <f t="shared" si="10"/>
        <v>-3.487078641917809</v>
      </c>
      <c r="J28" s="1">
        <f t="shared" si="10"/>
        <v>-3.7756699288617899</v>
      </c>
      <c r="K28" s="1">
        <f t="shared" si="10"/>
        <v>-4.087317735256832</v>
      </c>
      <c r="L28" s="1">
        <f t="shared" si="10"/>
        <v>-4.4238666811561806</v>
      </c>
      <c r="M28" s="1">
        <f t="shared" si="10"/>
        <v>-4.7873089558596611</v>
      </c>
      <c r="N28" s="1">
        <f t="shared" si="10"/>
        <v>-5.1797961234970682</v>
      </c>
      <c r="O28" s="1">
        <f t="shared" si="10"/>
        <v>-5.6036518730157079</v>
      </c>
      <c r="P28" s="1">
        <f t="shared" si="10"/>
        <v>-6.0613857881667972</v>
      </c>
      <c r="Q28" s="1">
        <f t="shared" si="10"/>
        <v>-6.5557082190907749</v>
      </c>
      <c r="R28" s="1">
        <f t="shared" si="10"/>
        <v>-7.0895463436294337</v>
      </c>
      <c r="S28" s="1">
        <f t="shared" si="10"/>
        <v>-7.6660615135430179</v>
      </c>
      <c r="T28" s="1">
        <f t="shared" si="10"/>
        <v>-8.2886679884246934</v>
      </c>
      <c r="U28" s="1">
        <f t="shared" si="10"/>
        <v>-8.9610531683281618</v>
      </c>
      <c r="V28" s="1">
        <f t="shared" si="10"/>
        <v>-9.6871994450054828</v>
      </c>
      <c r="W28" s="1">
        <f t="shared" si="10"/>
        <v>-10.471407801243922</v>
      </c>
      <c r="X28" s="1">
        <f t="shared" si="10"/>
        <v>-11.318323298149751</v>
      </c>
      <c r="Y28" s="1">
        <f t="shared" si="10"/>
        <v>-12.232962601414723</v>
      </c>
      <c r="Z28" s="1">
        <f t="shared" si="10"/>
        <v>-13.220743709683891</v>
      </c>
      <c r="AA28" s="1">
        <f t="shared" si="10"/>
        <v>-14.28751806119285</v>
      </c>
      <c r="AB28" s="1">
        <f t="shared" si="10"/>
        <v>-15.439605208935923</v>
      </c>
      <c r="AC28" s="1">
        <f t="shared" si="10"/>
        <v>-16.683830269847832</v>
      </c>
      <c r="AD28" s="1">
        <f t="shared" si="10"/>
        <v>-18.027564369919872</v>
      </c>
      <c r="AE28" s="1">
        <f t="shared" si="10"/>
        <v>-19.478768324925408</v>
      </c>
      <c r="AF28" s="1">
        <f t="shared" si="10"/>
        <v>-21.046039815603375</v>
      </c>
      <c r="AG28" s="1">
        <f t="shared" si="10"/>
        <v>-22.738664336856502</v>
      </c>
      <c r="AH28" s="1">
        <f t="shared" si="10"/>
        <v>-24.566670222885296</v>
      </c>
      <c r="AI28" s="1">
        <f t="shared" si="10"/>
        <v>-26.540888074332898</v>
      </c>
      <c r="AJ28" s="1">
        <f t="shared" si="10"/>
        <v>-28.673014939601345</v>
      </c>
      <c r="AK28" s="1">
        <f t="shared" si="10"/>
        <v>-30.97568363067327</v>
      </c>
      <c r="AL28" s="1">
        <f t="shared" si="10"/>
        <v>-33.462537584199261</v>
      </c>
    </row>
    <row r="29" spans="1:38" x14ac:dyDescent="0.25">
      <c r="A29" s="1" t="s">
        <v>217</v>
      </c>
      <c r="B29" s="1">
        <v>0</v>
      </c>
      <c r="C29" s="1">
        <f>-(C18-C19)</f>
        <v>0</v>
      </c>
      <c r="D29" s="1">
        <f t="shared" ref="D29:AL29" si="11">-(D18-D19)</f>
        <v>0</v>
      </c>
      <c r="E29" s="1">
        <f t="shared" si="11"/>
        <v>-0.77900282890546879</v>
      </c>
      <c r="F29" s="1">
        <f t="shared" si="11"/>
        <v>-1.3692366812762162</v>
      </c>
      <c r="G29" s="1">
        <f t="shared" si="11"/>
        <v>-1.7483038544891252</v>
      </c>
      <c r="H29" s="1">
        <f t="shared" si="11"/>
        <v>-1.8952065731976235</v>
      </c>
      <c r="I29" s="1">
        <f t="shared" si="11"/>
        <v>-2.0530022387783449</v>
      </c>
      <c r="J29" s="1">
        <f t="shared" si="11"/>
        <v>-2.223399118772083</v>
      </c>
      <c r="K29" s="1">
        <f t="shared" si="11"/>
        <v>-2.4074080497331738</v>
      </c>
      <c r="L29" s="1">
        <f t="shared" si="11"/>
        <v>-2.6061180672752218</v>
      </c>
      <c r="M29" s="1">
        <f t="shared" si="11"/>
        <v>-2.8207053211275603</v>
      </c>
      <c r="N29" s="1">
        <f t="shared" si="11"/>
        <v>-3.0524400527698088</v>
      </c>
      <c r="O29" s="1">
        <f t="shared" si="11"/>
        <v>-3.3026941227997364</v>
      </c>
      <c r="P29" s="1">
        <f t="shared" si="11"/>
        <v>-3.5729491404634404</v>
      </c>
      <c r="Q29" s="1">
        <f t="shared" si="11"/>
        <v>-3.8648052435478553</v>
      </c>
      <c r="R29" s="1">
        <f t="shared" si="11"/>
        <v>-4.1799905806646525</v>
      </c>
      <c r="S29" s="1">
        <f t="shared" si="11"/>
        <v>-4.5203715521168499</v>
      </c>
      <c r="T29" s="1">
        <f t="shared" si="11"/>
        <v>-4.887963870034759</v>
      </c>
      <c r="U29" s="1">
        <f t="shared" si="11"/>
        <v>-5.2849445033227944</v>
      </c>
      <c r="V29" s="1">
        <f t="shared" si="11"/>
        <v>-5.7136645782020263</v>
      </c>
      <c r="W29" s="1">
        <f t="shared" si="11"/>
        <v>-6.1766633107961511</v>
      </c>
      <c r="X29" s="1">
        <f t="shared" si="11"/>
        <v>-6.6766830543243056</v>
      </c>
      <c r="Y29" s="1">
        <f t="shared" si="11"/>
        <v>-7.2166855500693465</v>
      </c>
      <c r="Z29" s="1">
        <f t="shared" si="11"/>
        <v>-7.7998694784235418</v>
      </c>
      <c r="AA29" s="1">
        <f t="shared" si="11"/>
        <v>-8.4296894140179717</v>
      </c>
      <c r="AB29" s="1">
        <f t="shared" si="11"/>
        <v>-9.1098762972622271</v>
      </c>
      <c r="AC29" s="1">
        <f t="shared" si="11"/>
        <v>-9.8444595436073108</v>
      </c>
      <c r="AD29" s="1">
        <f t="shared" si="11"/>
        <v>-10.63779092154957</v>
      </c>
      <c r="AE29" s="1">
        <f t="shared" si="11"/>
        <v>-11.494570340874921</v>
      </c>
      <c r="AF29" s="1">
        <f t="shared" si="11"/>
        <v>-12.419873703962628</v>
      </c>
      <c r="AG29" s="1">
        <f t="shared" si="11"/>
        <v>-13.419182985193384</v>
      </c>
      <c r="AH29" s="1">
        <f t="shared" si="11"/>
        <v>-14.498418716710024</v>
      </c>
      <c r="AI29" s="1">
        <f t="shared" si="11"/>
        <v>-15.663975073039083</v>
      </c>
      <c r="AJ29" s="1">
        <f t="shared" si="11"/>
        <v>-16.922757762482131</v>
      </c>
      <c r="AK29" s="1">
        <f t="shared" si="11"/>
        <v>-18.282224949818335</v>
      </c>
      <c r="AL29" s="1">
        <f t="shared" si="11"/>
        <v>-19.750431452823282</v>
      </c>
    </row>
    <row r="30" spans="1:38" x14ac:dyDescent="0.25">
      <c r="A30" s="1" t="s">
        <v>218</v>
      </c>
      <c r="B30" s="1">
        <v>0</v>
      </c>
      <c r="C30" s="1">
        <f>C25+C26+C27+C28+C29</f>
        <v>14.505138091125</v>
      </c>
      <c r="D30" s="1">
        <f t="shared" ref="D30:AL30" si="12">D25+D26+D27+D28+D29</f>
        <v>18.073555717320474</v>
      </c>
      <c r="E30" s="1">
        <f t="shared" si="12"/>
        <v>20.372292118944873</v>
      </c>
      <c r="F30" s="1">
        <f t="shared" si="12"/>
        <v>22.307311304142122</v>
      </c>
      <c r="G30" s="1">
        <f t="shared" si="12"/>
        <v>23.844124679491348</v>
      </c>
      <c r="H30" s="1">
        <f t="shared" si="12"/>
        <v>25.763716827680778</v>
      </c>
      <c r="I30" s="1">
        <f t="shared" si="12"/>
        <v>27.837666256780707</v>
      </c>
      <c r="J30" s="1">
        <f t="shared" si="12"/>
        <v>30.077493185345087</v>
      </c>
      <c r="K30" s="1">
        <f t="shared" si="12"/>
        <v>32.496465295058243</v>
      </c>
      <c r="L30" s="1">
        <f t="shared" si="12"/>
        <v>35.108914323008236</v>
      </c>
      <c r="M30" s="1">
        <f t="shared" si="12"/>
        <v>37.930318553278596</v>
      </c>
      <c r="N30" s="1">
        <f t="shared" si="12"/>
        <v>40.977394532288685</v>
      </c>
      <c r="O30" s="1">
        <f t="shared" si="12"/>
        <v>44.268196129755012</v>
      </c>
      <c r="P30" s="1">
        <f t="shared" si="12"/>
        <v>47.822221524556134</v>
      </c>
      <c r="Q30" s="1">
        <f t="shared" si="12"/>
        <v>51.66052874946709</v>
      </c>
      <c r="R30" s="1">
        <f t="shared" si="12"/>
        <v>55.8058604794724</v>
      </c>
      <c r="S30" s="1">
        <f t="shared" si="12"/>
        <v>60.282778803144033</v>
      </c>
      <c r="T30" s="1">
        <f t="shared" si="12"/>
        <v>65.117810775729893</v>
      </c>
      <c r="U30" s="1">
        <f t="shared" si="12"/>
        <v>70.339605616489109</v>
      </c>
      <c r="V30" s="1">
        <f t="shared" si="12"/>
        <v>75.97910448181419</v>
      </c>
      <c r="W30" s="1">
        <f t="shared" si="12"/>
        <v>82.069723820203194</v>
      </c>
      <c r="X30" s="1">
        <f t="shared" si="12"/>
        <v>88.64755339562916</v>
      </c>
      <c r="Y30" s="1">
        <f t="shared" si="12"/>
        <v>95.751570152779706</v>
      </c>
      <c r="Z30" s="1">
        <f t="shared" si="12"/>
        <v>103.42386919151532</v>
      </c>
      <c r="AA30" s="1">
        <f t="shared" si="12"/>
        <v>111.70991321928447</v>
      </c>
      <c r="AB30" s="1">
        <f t="shared" si="12"/>
        <v>120.65880195973209</v>
      </c>
      <c r="AC30" s="1">
        <f t="shared" si="12"/>
        <v>130.32356311399624</v>
      </c>
      <c r="AD30" s="1">
        <f t="shared" si="12"/>
        <v>140.76146659890932</v>
      </c>
      <c r="AE30" s="1">
        <f t="shared" si="12"/>
        <v>152.03436392425428</v>
      </c>
      <c r="AF30" s="1">
        <f t="shared" si="12"/>
        <v>164.20905472020263</v>
      </c>
      <c r="AG30" s="1">
        <f t="shared" si="12"/>
        <v>177.35768258694603</v>
      </c>
      <c r="AH30" s="1">
        <f t="shared" si="12"/>
        <v>191.55816261229981</v>
      </c>
      <c r="AI30" s="1">
        <f t="shared" si="12"/>
        <v>206.89464309071388</v>
      </c>
      <c r="AJ30" s="1">
        <f t="shared" si="12"/>
        <v>223.45800417980448</v>
      </c>
      <c r="AK30" s="1">
        <f t="shared" si="12"/>
        <v>241.34639644940904</v>
      </c>
      <c r="AL30" s="1">
        <f t="shared" si="12"/>
        <v>260.66582251456538</v>
      </c>
    </row>
    <row r="32" spans="1:38" x14ac:dyDescent="0.25">
      <c r="A32" s="1" t="s">
        <v>219</v>
      </c>
    </row>
    <row r="33" spans="1:38" x14ac:dyDescent="0.25">
      <c r="A33" s="1" t="s">
        <v>220</v>
      </c>
      <c r="B33" s="1">
        <v>0</v>
      </c>
      <c r="C33" s="1">
        <f>IFERROR(C18/C20,0)</f>
        <v>0</v>
      </c>
      <c r="D33" s="1">
        <f t="shared" ref="D33:AL33" si="13">IFERROR(D18/D20,0)</f>
        <v>0</v>
      </c>
      <c r="E33" s="1">
        <f t="shared" si="13"/>
        <v>3.1921831469704114E-3</v>
      </c>
      <c r="F33" s="1">
        <f t="shared" si="13"/>
        <v>5.1759211526085577E-3</v>
      </c>
      <c r="G33" s="1">
        <f t="shared" si="13"/>
        <v>6.1008896926430176E-3</v>
      </c>
      <c r="H33" s="1">
        <f t="shared" si="13"/>
        <v>6.1066749750483245E-3</v>
      </c>
      <c r="I33" s="1">
        <f t="shared" si="13"/>
        <v>6.109496147642288E-3</v>
      </c>
      <c r="J33" s="1">
        <f t="shared" si="13"/>
        <v>6.1120798989959266E-3</v>
      </c>
      <c r="K33" s="1">
        <f t="shared" si="13"/>
        <v>6.114453847333827E-3</v>
      </c>
      <c r="L33" s="1">
        <f t="shared" si="13"/>
        <v>6.1166358271406481E-3</v>
      </c>
      <c r="M33" s="1">
        <f t="shared" si="13"/>
        <v>6.1186420197401701E-3</v>
      </c>
      <c r="N33" s="1">
        <f t="shared" si="13"/>
        <v>6.1204871433504998E-3</v>
      </c>
      <c r="O33" s="1">
        <f t="shared" si="13"/>
        <v>6.1221846001836694E-3</v>
      </c>
      <c r="P33" s="1">
        <f t="shared" si="13"/>
        <v>6.1237466065613326E-3</v>
      </c>
      <c r="Q33" s="1">
        <f t="shared" si="13"/>
        <v>6.1251843083602268E-3</v>
      </c>
      <c r="R33" s="1">
        <f t="shared" si="13"/>
        <v>6.1265078836937881E-3</v>
      </c>
      <c r="S33" s="1">
        <f t="shared" si="13"/>
        <v>6.1277266344542747E-3</v>
      </c>
      <c r="T33" s="1">
        <f t="shared" si="13"/>
        <v>6.1288490681042961E-3</v>
      </c>
      <c r="U33" s="1">
        <f t="shared" si="13"/>
        <v>6.1298829709091063E-3</v>
      </c>
      <c r="V33" s="1">
        <f t="shared" si="13"/>
        <v>6.1308354736349822E-3</v>
      </c>
      <c r="W33" s="1">
        <f t="shared" si="13"/>
        <v>6.1317131105987502E-3</v>
      </c>
      <c r="X33" s="1">
        <f t="shared" si="13"/>
        <v>6.1325218728347283E-3</v>
      </c>
      <c r="Y33" s="1">
        <f t="shared" si="13"/>
        <v>6.1332672560445514E-3</v>
      </c>
      <c r="Z33" s="1">
        <f t="shared" si="13"/>
        <v>6.1339543039092689E-3</v>
      </c>
      <c r="AA33" s="1">
        <f t="shared" si="13"/>
        <v>6.1345876472697729E-3</v>
      </c>
      <c r="AB33" s="1">
        <f t="shared" si="13"/>
        <v>6.1351715396184845E-3</v>
      </c>
      <c r="AC33" s="1">
        <f t="shared" si="13"/>
        <v>6.1357098892912418E-3</v>
      </c>
      <c r="AD33" s="1">
        <f t="shared" si="13"/>
        <v>6.1362062887015669E-3</v>
      </c>
      <c r="AE33" s="1">
        <f t="shared" si="13"/>
        <v>6.1366640409192298E-3</v>
      </c>
      <c r="AF33" s="1">
        <f t="shared" si="13"/>
        <v>6.1370861838600426E-3</v>
      </c>
      <c r="AG33" s="1">
        <f t="shared" si="13"/>
        <v>6.1374755123234908E-3</v>
      </c>
      <c r="AH33" s="1">
        <f t="shared" si="13"/>
        <v>6.1378345980882942E-3</v>
      </c>
      <c r="AI33" s="1">
        <f t="shared" si="13"/>
        <v>6.1381658082529647E-3</v>
      </c>
      <c r="AJ33" s="1">
        <f t="shared" si="13"/>
        <v>6.1384713219881813E-3</v>
      </c>
      <c r="AK33" s="1">
        <f t="shared" si="13"/>
        <v>6.1387531458500068E-3</v>
      </c>
      <c r="AL33" s="1">
        <f t="shared" si="13"/>
        <v>6.1390131277874746E-3</v>
      </c>
    </row>
    <row r="34" spans="1:38" x14ac:dyDescent="0.25">
      <c r="A34" s="1" t="s">
        <v>221</v>
      </c>
      <c r="B34" s="1">
        <f>RISK_SEGMENTS!G9</f>
        <v>0.31825665000000003</v>
      </c>
      <c r="C34" s="1">
        <f>$B$34</f>
        <v>0.31825665000000003</v>
      </c>
      <c r="D34" s="1">
        <f t="shared" ref="D34:AL34" si="14">$B$34</f>
        <v>0.31825665000000003</v>
      </c>
      <c r="E34" s="1">
        <f t="shared" si="14"/>
        <v>0.31825665000000003</v>
      </c>
      <c r="F34" s="1">
        <f t="shared" si="14"/>
        <v>0.31825665000000003</v>
      </c>
      <c r="G34" s="1">
        <f t="shared" si="14"/>
        <v>0.31825665000000003</v>
      </c>
      <c r="H34" s="1">
        <f t="shared" si="14"/>
        <v>0.31825665000000003</v>
      </c>
      <c r="I34" s="1">
        <f t="shared" si="14"/>
        <v>0.31825665000000003</v>
      </c>
      <c r="J34" s="1">
        <f t="shared" si="14"/>
        <v>0.31825665000000003</v>
      </c>
      <c r="K34" s="1">
        <f t="shared" si="14"/>
        <v>0.31825665000000003</v>
      </c>
      <c r="L34" s="1">
        <f t="shared" si="14"/>
        <v>0.31825665000000003</v>
      </c>
      <c r="M34" s="1">
        <f t="shared" si="14"/>
        <v>0.31825665000000003</v>
      </c>
      <c r="N34" s="1">
        <f t="shared" si="14"/>
        <v>0.31825665000000003</v>
      </c>
      <c r="O34" s="1">
        <f t="shared" si="14"/>
        <v>0.31825665000000003</v>
      </c>
      <c r="P34" s="1">
        <f t="shared" si="14"/>
        <v>0.31825665000000003</v>
      </c>
      <c r="Q34" s="1">
        <f t="shared" si="14"/>
        <v>0.31825665000000003</v>
      </c>
      <c r="R34" s="1">
        <f t="shared" si="14"/>
        <v>0.31825665000000003</v>
      </c>
      <c r="S34" s="1">
        <f t="shared" si="14"/>
        <v>0.31825665000000003</v>
      </c>
      <c r="T34" s="1">
        <f t="shared" si="14"/>
        <v>0.31825665000000003</v>
      </c>
      <c r="U34" s="1">
        <f t="shared" si="14"/>
        <v>0.31825665000000003</v>
      </c>
      <c r="V34" s="1">
        <f t="shared" si="14"/>
        <v>0.31825665000000003</v>
      </c>
      <c r="W34" s="1">
        <f t="shared" si="14"/>
        <v>0.31825665000000003</v>
      </c>
      <c r="X34" s="1">
        <f t="shared" si="14"/>
        <v>0.31825665000000003</v>
      </c>
      <c r="Y34" s="1">
        <f t="shared" si="14"/>
        <v>0.31825665000000003</v>
      </c>
      <c r="Z34" s="1">
        <f t="shared" si="14"/>
        <v>0.31825665000000003</v>
      </c>
      <c r="AA34" s="1">
        <f t="shared" si="14"/>
        <v>0.31825665000000003</v>
      </c>
      <c r="AB34" s="1">
        <f t="shared" si="14"/>
        <v>0.31825665000000003</v>
      </c>
      <c r="AC34" s="1">
        <f t="shared" si="14"/>
        <v>0.31825665000000003</v>
      </c>
      <c r="AD34" s="1">
        <f t="shared" si="14"/>
        <v>0.31825665000000003</v>
      </c>
      <c r="AE34" s="1">
        <f t="shared" si="14"/>
        <v>0.31825665000000003</v>
      </c>
      <c r="AF34" s="1">
        <f t="shared" si="14"/>
        <v>0.31825665000000003</v>
      </c>
      <c r="AG34" s="1">
        <f t="shared" si="14"/>
        <v>0.31825665000000003</v>
      </c>
      <c r="AH34" s="1">
        <f t="shared" si="14"/>
        <v>0.31825665000000003</v>
      </c>
      <c r="AI34" s="1">
        <f t="shared" si="14"/>
        <v>0.31825665000000003</v>
      </c>
      <c r="AJ34" s="1">
        <f t="shared" si="14"/>
        <v>0.31825665000000003</v>
      </c>
      <c r="AK34" s="1">
        <f t="shared" si="14"/>
        <v>0.31825665000000003</v>
      </c>
      <c r="AL34" s="1">
        <f t="shared" si="14"/>
        <v>0.31825665000000003</v>
      </c>
    </row>
    <row r="35" spans="1:38" x14ac:dyDescent="0.25">
      <c r="A35" s="1" t="s">
        <v>222</v>
      </c>
      <c r="B35" s="1">
        <v>0</v>
      </c>
      <c r="C35" s="1">
        <f>IFERROR((C18-C19)/C20,0)</f>
        <v>0</v>
      </c>
      <c r="D35" s="1">
        <f t="shared" ref="D35:AL35" si="15">IFERROR((D18-D19)/D20,0)</f>
        <v>0</v>
      </c>
      <c r="E35" s="1">
        <f t="shared" si="15"/>
        <v>1.4205215004018334E-3</v>
      </c>
      <c r="F35" s="1">
        <f t="shared" si="15"/>
        <v>2.3032849129108086E-3</v>
      </c>
      <c r="G35" s="1">
        <f t="shared" si="15"/>
        <v>2.7148959132261429E-3</v>
      </c>
      <c r="H35" s="1">
        <f t="shared" si="15"/>
        <v>2.7174703638965046E-3</v>
      </c>
      <c r="I35" s="1">
        <f t="shared" si="15"/>
        <v>2.718725785700819E-3</v>
      </c>
      <c r="J35" s="1">
        <f t="shared" si="15"/>
        <v>2.7198755550531879E-3</v>
      </c>
      <c r="K35" s="1">
        <f t="shared" si="15"/>
        <v>2.7209319620635536E-3</v>
      </c>
      <c r="L35" s="1">
        <f t="shared" si="15"/>
        <v>2.7219029430775887E-3</v>
      </c>
      <c r="M35" s="1">
        <f t="shared" si="15"/>
        <v>2.7227956987843759E-3</v>
      </c>
      <c r="N35" s="1">
        <f t="shared" si="15"/>
        <v>2.7236167787909726E-3</v>
      </c>
      <c r="O35" s="1">
        <f t="shared" si="15"/>
        <v>2.7243721470817336E-3</v>
      </c>
      <c r="P35" s="1">
        <f t="shared" si="15"/>
        <v>2.7250672399197935E-3</v>
      </c>
      <c r="Q35" s="1">
        <f t="shared" si="15"/>
        <v>2.7257070172203011E-3</v>
      </c>
      <c r="R35" s="1">
        <f t="shared" si="15"/>
        <v>2.726296008243736E-3</v>
      </c>
      <c r="S35" s="1">
        <f t="shared" si="15"/>
        <v>2.7268383523321527E-3</v>
      </c>
      <c r="T35" s="1">
        <f t="shared" si="15"/>
        <v>2.7273378353064124E-3</v>
      </c>
      <c r="U35" s="1">
        <f t="shared" si="15"/>
        <v>2.7277979220545526E-3</v>
      </c>
      <c r="V35" s="1">
        <f t="shared" si="15"/>
        <v>2.7282217857675676E-3</v>
      </c>
      <c r="W35" s="1">
        <f t="shared" si="15"/>
        <v>2.7286123342164441E-3</v>
      </c>
      <c r="X35" s="1">
        <f t="shared" si="15"/>
        <v>2.7289722334114543E-3</v>
      </c>
      <c r="Y35" s="1">
        <f t="shared" si="15"/>
        <v>2.7293039289398259E-3</v>
      </c>
      <c r="Z35" s="1">
        <f t="shared" si="15"/>
        <v>2.7296096652396247E-3</v>
      </c>
      <c r="AA35" s="1">
        <f t="shared" si="15"/>
        <v>2.7298915030350489E-3</v>
      </c>
      <c r="AB35" s="1">
        <f t="shared" si="15"/>
        <v>2.7301513351302262E-3</v>
      </c>
      <c r="AC35" s="1">
        <f t="shared" si="15"/>
        <v>2.7303909007346029E-3</v>
      </c>
      <c r="AD35" s="1">
        <f t="shared" si="15"/>
        <v>2.7306117984721981E-3</v>
      </c>
      <c r="AE35" s="1">
        <f t="shared" si="15"/>
        <v>2.7308154982090579E-3</v>
      </c>
      <c r="AF35" s="1">
        <f t="shared" si="15"/>
        <v>2.7310033518177191E-3</v>
      </c>
      <c r="AG35" s="1">
        <f t="shared" si="15"/>
        <v>2.7311766029839541E-3</v>
      </c>
      <c r="AH35" s="1">
        <f t="shared" si="15"/>
        <v>2.7313363961492913E-3</v>
      </c>
      <c r="AI35" s="1">
        <f t="shared" si="15"/>
        <v>2.7314837846725698E-3</v>
      </c>
      <c r="AJ35" s="1">
        <f t="shared" si="15"/>
        <v>2.7316197382847413E-3</v>
      </c>
      <c r="AK35" s="1">
        <f t="shared" si="15"/>
        <v>2.7317451499032537E-3</v>
      </c>
      <c r="AL35" s="1">
        <f t="shared" si="15"/>
        <v>2.7318608418654268E-3</v>
      </c>
    </row>
    <row r="36" spans="1:38" x14ac:dyDescent="0.25">
      <c r="A36" s="1" t="s">
        <v>223</v>
      </c>
      <c r="B36" s="1">
        <v>0</v>
      </c>
      <c r="C36" s="1">
        <f>IFERROR(C29/C20*12,0)</f>
        <v>0</v>
      </c>
      <c r="D36" s="1">
        <f t="shared" ref="D36:AL36" si="16">IFERROR(D29/D20*12,0)</f>
        <v>0</v>
      </c>
      <c r="E36" s="1">
        <f t="shared" si="16"/>
        <v>-1.7046258004821999E-2</v>
      </c>
      <c r="F36" s="1">
        <f t="shared" si="16"/>
        <v>-2.7639418954929704E-2</v>
      </c>
      <c r="G36" s="1">
        <f t="shared" si="16"/>
        <v>-3.2578750958713716E-2</v>
      </c>
      <c r="H36" s="1">
        <f t="shared" si="16"/>
        <v>-3.2609644366758055E-2</v>
      </c>
      <c r="I36" s="1">
        <f t="shared" si="16"/>
        <v>-3.262470942840983E-2</v>
      </c>
      <c r="J36" s="1">
        <f t="shared" si="16"/>
        <v>-3.2638506660638257E-2</v>
      </c>
      <c r="K36" s="1">
        <f t="shared" si="16"/>
        <v>-3.2651183544762645E-2</v>
      </c>
      <c r="L36" s="1">
        <f t="shared" si="16"/>
        <v>-3.2662835316931066E-2</v>
      </c>
      <c r="M36" s="1">
        <f t="shared" si="16"/>
        <v>-3.2673548385412511E-2</v>
      </c>
      <c r="N36" s="1">
        <f t="shared" si="16"/>
        <v>-3.2683401345491671E-2</v>
      </c>
      <c r="O36" s="1">
        <f t="shared" si="16"/>
        <v>-3.2692465764980805E-2</v>
      </c>
      <c r="P36" s="1">
        <f t="shared" si="16"/>
        <v>-3.2700806879037522E-2</v>
      </c>
      <c r="Q36" s="1">
        <f t="shared" si="16"/>
        <v>-3.2708484206643615E-2</v>
      </c>
      <c r="R36" s="1">
        <f t="shared" si="16"/>
        <v>-3.2715552098924836E-2</v>
      </c>
      <c r="S36" s="1">
        <f t="shared" si="16"/>
        <v>-3.2722060227985836E-2</v>
      </c>
      <c r="T36" s="1">
        <f t="shared" si="16"/>
        <v>-3.2728054023676949E-2</v>
      </c>
      <c r="U36" s="1">
        <f t="shared" si="16"/>
        <v>-3.273357506465463E-2</v>
      </c>
      <c r="V36" s="1">
        <f t="shared" si="16"/>
        <v>-3.2738661429210808E-2</v>
      </c>
      <c r="W36" s="1">
        <f t="shared" si="16"/>
        <v>-3.2743348010597327E-2</v>
      </c>
      <c r="X36" s="1">
        <f t="shared" si="16"/>
        <v>-3.274766680093745E-2</v>
      </c>
      <c r="Y36" s="1">
        <f t="shared" si="16"/>
        <v>-3.2751647147277907E-2</v>
      </c>
      <c r="Z36" s="1">
        <f t="shared" si="16"/>
        <v>-3.2755315982875496E-2</v>
      </c>
      <c r="AA36" s="1">
        <f t="shared" si="16"/>
        <v>-3.2758698036420585E-2</v>
      </c>
      <c r="AB36" s="1">
        <f t="shared" si="16"/>
        <v>-3.2761816021562716E-2</v>
      </c>
      <c r="AC36" s="1">
        <f t="shared" si="16"/>
        <v>-3.2764690808815236E-2</v>
      </c>
      <c r="AD36" s="1">
        <f t="shared" si="16"/>
        <v>-3.2767341581666373E-2</v>
      </c>
      <c r="AE36" s="1">
        <f t="shared" si="16"/>
        <v>-3.2769785978508693E-2</v>
      </c>
      <c r="AF36" s="1">
        <f t="shared" si="16"/>
        <v>-3.2772040221812626E-2</v>
      </c>
      <c r="AG36" s="1">
        <f t="shared" si="16"/>
        <v>-3.2774119235807447E-2</v>
      </c>
      <c r="AH36" s="1">
        <f t="shared" si="16"/>
        <v>-3.2776036753791496E-2</v>
      </c>
      <c r="AI36" s="1">
        <f t="shared" si="16"/>
        <v>-3.2777805416070838E-2</v>
      </c>
      <c r="AJ36" s="1">
        <f t="shared" si="16"/>
        <v>-3.2779436859416894E-2</v>
      </c>
      <c r="AK36" s="1">
        <f t="shared" si="16"/>
        <v>-3.2780941798839044E-2</v>
      </c>
      <c r="AL36" s="1">
        <f t="shared" si="16"/>
        <v>-3.278233010238512E-2</v>
      </c>
    </row>
    <row r="37" spans="1:38" x14ac:dyDescent="0.25">
      <c r="A37" s="1" t="s">
        <v>224</v>
      </c>
      <c r="B37" s="1">
        <v>0</v>
      </c>
      <c r="C37" s="1">
        <f>IFERROR(C30/C17,0)</f>
        <v>0</v>
      </c>
      <c r="D37" s="1">
        <f t="shared" ref="D37:AL37" si="17">IFERROR(D30/D17,0)</f>
        <v>7.3965680833333353E-2</v>
      </c>
      <c r="E37" s="1">
        <f t="shared" si="17"/>
        <v>4.7433706431102209E-2</v>
      </c>
      <c r="F37" s="1">
        <f t="shared" si="17"/>
        <v>4.0677663992842894E-2</v>
      </c>
      <c r="G37" s="1">
        <f t="shared" si="17"/>
        <v>4.0109802335011872E-2</v>
      </c>
      <c r="H37" s="1">
        <f t="shared" si="17"/>
        <v>4.0007810624787039E-2</v>
      </c>
      <c r="I37" s="1">
        <f t="shared" si="17"/>
        <v>3.9915455192416682E-2</v>
      </c>
      <c r="J37" s="1">
        <f t="shared" si="17"/>
        <v>3.9830670784313266E-2</v>
      </c>
      <c r="K37" s="1">
        <f t="shared" si="17"/>
        <v>3.9752800491562816E-2</v>
      </c>
      <c r="L37" s="1">
        <f t="shared" si="17"/>
        <v>3.9681252683944464E-2</v>
      </c>
      <c r="M37" s="1">
        <f t="shared" si="17"/>
        <v>3.9615490563703774E-2</v>
      </c>
      <c r="N37" s="1">
        <f t="shared" si="17"/>
        <v>3.955502644824499E-2</v>
      </c>
      <c r="O37" s="1">
        <f t="shared" si="17"/>
        <v>3.9499416749038042E-2</v>
      </c>
      <c r="P37" s="1">
        <f t="shared" si="17"/>
        <v>3.9448257540310325E-2</v>
      </c>
      <c r="Q37" s="1">
        <f t="shared" si="17"/>
        <v>3.940118063752996E-2</v>
      </c>
      <c r="R37" s="1">
        <f t="shared" si="17"/>
        <v>3.9357850118025367E-2</v>
      </c>
      <c r="S37" s="1">
        <f t="shared" si="17"/>
        <v>3.9317959226290625E-2</v>
      </c>
      <c r="T37" s="1">
        <f t="shared" si="17"/>
        <v>3.9281227615021098E-2</v>
      </c>
      <c r="U37" s="1">
        <f t="shared" si="17"/>
        <v>3.9247398880020358E-2</v>
      </c>
      <c r="V37" s="1">
        <f t="shared" si="17"/>
        <v>3.9216238353070879E-2</v>
      </c>
      <c r="W37" s="1">
        <f t="shared" si="17"/>
        <v>3.9187531121867847E-2</v>
      </c>
      <c r="X37" s="1">
        <f t="shared" si="17"/>
        <v>3.9161080250340929E-2</v>
      </c>
      <c r="Y37" s="1">
        <f t="shared" si="17"/>
        <v>3.9136705176269479E-2</v>
      </c>
      <c r="Z37" s="1">
        <f t="shared" si="17"/>
        <v>3.9114240266135601E-2</v>
      </c>
      <c r="AA37" s="1">
        <f t="shared" si="17"/>
        <v>3.9093533509751491E-2</v>
      </c>
      <c r="AB37" s="1">
        <f t="shared" si="17"/>
        <v>3.907444533941154E-2</v>
      </c>
      <c r="AC37" s="1">
        <f t="shared" si="17"/>
        <v>3.9056847560217024E-2</v>
      </c>
      <c r="AD37" s="1">
        <f t="shared" si="17"/>
        <v>3.9040622379853687E-2</v>
      </c>
      <c r="AE37" s="1">
        <f t="shared" si="17"/>
        <v>3.9025661527507409E-2</v>
      </c>
      <c r="AF37" s="1">
        <f t="shared" si="17"/>
        <v>3.9011865452820073E-2</v>
      </c>
      <c r="AG37" s="1">
        <f t="shared" si="17"/>
        <v>3.8999142596839259E-2</v>
      </c>
      <c r="AH37" s="1">
        <f t="shared" si="17"/>
        <v>3.8987408727832421E-2</v>
      </c>
      <c r="AI37" s="1">
        <f t="shared" si="17"/>
        <v>3.897658633563153E-2</v>
      </c>
      <c r="AJ37" s="1">
        <f t="shared" si="17"/>
        <v>3.8966604078871821E-2</v>
      </c>
      <c r="AK37" s="1">
        <f t="shared" si="17"/>
        <v>3.895739628009677E-2</v>
      </c>
      <c r="AL37" s="1">
        <f t="shared" si="17"/>
        <v>3.8948902464236553E-2</v>
      </c>
    </row>
    <row r="39" spans="1:38" x14ac:dyDescent="0.25">
      <c r="A39" s="1" t="s">
        <v>187</v>
      </c>
    </row>
    <row r="40" spans="1:38" x14ac:dyDescent="0.25">
      <c r="A40" s="1" t="s">
        <v>225</v>
      </c>
      <c r="B40" s="1">
        <f>MAX(C20:AL20)</f>
        <v>7229.6623422944467</v>
      </c>
      <c r="C40" s="1" t="str">
        <f>IF(B40&gt;0,"PASS — portfolio growing","WARNING — portfolio not growing")</f>
        <v>PASS — portfolio growing</v>
      </c>
    </row>
    <row r="41" spans="1:38" x14ac:dyDescent="0.25">
      <c r="A41" s="1" t="s">
        <v>226</v>
      </c>
      <c r="B41" s="1">
        <f>MATCH(MAX(C20:AL20),C20:AL20,0)+1</f>
        <v>37</v>
      </c>
    </row>
    <row r="42" spans="1:38" x14ac:dyDescent="0.25">
      <c r="A42" s="1" t="s">
        <v>227</v>
      </c>
      <c r="B42" s="1">
        <f>SUM(C25:AL25)</f>
        <v>4955.6411580463173</v>
      </c>
    </row>
    <row r="43" spans="1:38" x14ac:dyDescent="0.25">
      <c r="A43" s="1" t="s">
        <v>228</v>
      </c>
      <c r="B43" s="1">
        <f>SUM(C30:AL30)</f>
        <v>3291.4410889751366</v>
      </c>
      <c r="C43" s="1" t="str">
        <f>IF(B43&gt;0,"PASS — profitable","WARNING — loss-making")</f>
        <v>PASS — profitable</v>
      </c>
    </row>
    <row r="44" spans="1:38" x14ac:dyDescent="0.25">
      <c r="A44" s="1" t="s">
        <v>229</v>
      </c>
      <c r="B44" s="1" cm="1">
        <f t="array" ref="B44">MATCH(TRUE, C30:AL30&gt;0, 0)</f>
        <v>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82DF-2015-4A5C-A01A-F9388A88CAFA}">
  <dimension ref="A1:E25"/>
  <sheetViews>
    <sheetView topLeftCell="A15" workbookViewId="0">
      <selection activeCell="B25" sqref="B25:D25"/>
    </sheetView>
  </sheetViews>
  <sheetFormatPr defaultRowHeight="15" x14ac:dyDescent="0.25"/>
  <cols>
    <col min="1" max="1" width="24.7109375" style="1" bestFit="1" customWidth="1"/>
    <col min="2" max="4" width="9.140625" style="1"/>
    <col min="5" max="5" width="11.140625" style="1" bestFit="1" customWidth="1"/>
    <col min="6" max="16384" width="9.140625" style="1"/>
  </cols>
  <sheetData>
    <row r="1" spans="1:5" ht="30" x14ac:dyDescent="0.25">
      <c r="A1" s="2" t="s">
        <v>230</v>
      </c>
    </row>
    <row r="2" spans="1:5" x14ac:dyDescent="0.25">
      <c r="A2" s="1" t="s">
        <v>231</v>
      </c>
    </row>
    <row r="4" spans="1:5" x14ac:dyDescent="0.25">
      <c r="B4" s="1" t="s">
        <v>232</v>
      </c>
      <c r="C4" s="1" t="s">
        <v>233</v>
      </c>
      <c r="D4" s="1" t="s">
        <v>234</v>
      </c>
      <c r="E4" s="1" t="s">
        <v>235</v>
      </c>
    </row>
    <row r="6" spans="1:5" x14ac:dyDescent="0.25">
      <c r="A6" s="1" t="s">
        <v>236</v>
      </c>
    </row>
    <row r="7" spans="1:5" x14ac:dyDescent="0.25">
      <c r="A7" s="1" t="s">
        <v>237</v>
      </c>
      <c r="B7" s="1">
        <f>SUM(PORTFOLIO!C23:N23)</f>
        <v>201.79801600025812</v>
      </c>
      <c r="C7" s="1">
        <f>SUM(PORTFOLIO!O23:Z23)</f>
        <v>568.38893510790012</v>
      </c>
      <c r="D7" s="1">
        <f>SUM(PORTFOLIO!AA23:AL23)</f>
        <v>1442.34330080371</v>
      </c>
      <c r="E7" s="1">
        <f>SUM(B7:D7)</f>
        <v>2212.5302519118682</v>
      </c>
    </row>
    <row r="8" spans="1:5" x14ac:dyDescent="0.25">
      <c r="A8" s="1" t="s">
        <v>238</v>
      </c>
      <c r="B8" s="1">
        <f>SUM(PORTFOLIO!C24:N24)</f>
        <v>278.2242915115562</v>
      </c>
      <c r="C8" s="1">
        <f>SUM(PORTFOLIO!O24:Z24)</f>
        <v>700.6160966575336</v>
      </c>
      <c r="D8" s="1">
        <f>SUM(PORTFOLIO!AA24:AL24)</f>
        <v>1764.2705179653594</v>
      </c>
      <c r="E8" s="1">
        <f>SUM(B8:D8)</f>
        <v>2743.1109061344491</v>
      </c>
    </row>
    <row r="9" spans="1:5" x14ac:dyDescent="0.25">
      <c r="A9" s="1" t="s">
        <v>239</v>
      </c>
      <c r="B9" s="1">
        <f>B7+B8</f>
        <v>480.02230751181435</v>
      </c>
      <c r="C9" s="1">
        <f t="shared" ref="C9:E9" si="0">C7+C8</f>
        <v>1269.0050317654336</v>
      </c>
      <c r="D9" s="1">
        <f t="shared" si="0"/>
        <v>3206.6138187690694</v>
      </c>
      <c r="E9" s="1">
        <f t="shared" si="0"/>
        <v>4955.6411580463173</v>
      </c>
    </row>
    <row r="11" spans="1:5" x14ac:dyDescent="0.25">
      <c r="A11" s="1" t="s">
        <v>240</v>
      </c>
    </row>
    <row r="12" spans="1:5" x14ac:dyDescent="0.25">
      <c r="A12" s="1" t="s">
        <v>241</v>
      </c>
      <c r="B12" s="1">
        <f>SUM(PORTFOLIO!C26:N26)</f>
        <v>-88.770249545566855</v>
      </c>
      <c r="C12" s="1">
        <f>SUM(PORTFOLIO!O26:Z26)</f>
        <v>-250.03232741595815</v>
      </c>
      <c r="D12" s="1">
        <f>SUM(PORTFOLIO!AA26:AL26)</f>
        <v>-634.481831290939</v>
      </c>
      <c r="E12" s="1">
        <f>SUM(B12:D12)</f>
        <v>-973.284408252464</v>
      </c>
    </row>
    <row r="13" spans="1:5" x14ac:dyDescent="0.25">
      <c r="A13" s="1" t="s">
        <v>242</v>
      </c>
      <c r="B13" s="1">
        <f>SUM(PORTFOLIO!C27:N27)</f>
        <v>-2.9584516330728809</v>
      </c>
      <c r="C13" s="1">
        <f>SUM(PORTFOLIO!O27:Z27)</f>
        <v>-7.4498844944584404</v>
      </c>
      <c r="D13" s="1">
        <f>SUM(PORTFOLIO!AA27:AL27)</f>
        <v>-18.760076507698326</v>
      </c>
      <c r="E13" s="1">
        <f>SUM(B13:D13)</f>
        <v>-29.168412635229647</v>
      </c>
    </row>
    <row r="14" spans="1:5" x14ac:dyDescent="0.25">
      <c r="A14" s="1" t="s">
        <v>243</v>
      </c>
      <c r="B14" s="1">
        <f>SUM(PORTFOLIO!C28:N28)</f>
        <v>-38.044392662385796</v>
      </c>
      <c r="C14" s="1">
        <f>SUM(PORTFOLIO!O28:Z28)</f>
        <v>-107.15671174969636</v>
      </c>
      <c r="D14" s="1">
        <f>SUM(PORTFOLIO!AA28:AL28)</f>
        <v>-271.92078483897387</v>
      </c>
      <c r="E14" s="1">
        <f>SUM(B14:D14)</f>
        <v>-417.12188925105602</v>
      </c>
    </row>
    <row r="15" spans="1:5" x14ac:dyDescent="0.25">
      <c r="A15" s="1" t="s">
        <v>244</v>
      </c>
      <c r="B15" s="1">
        <f>SUM(PORTFOLIO!C29:N29)</f>
        <v>-20.954822786324627</v>
      </c>
      <c r="C15" s="1">
        <f>SUM(PORTFOLIO!O29:Z29)</f>
        <v>-63.19728498476546</v>
      </c>
      <c r="D15" s="1">
        <f>SUM(PORTFOLIO!AA29:AL29)</f>
        <v>-160.47325116134087</v>
      </c>
      <c r="E15" s="1">
        <f>SUM(B15:D15)</f>
        <v>-244.62535893243097</v>
      </c>
    </row>
    <row r="16" spans="1:5" x14ac:dyDescent="0.25">
      <c r="A16" s="1" t="s">
        <v>245</v>
      </c>
      <c r="B16" s="1">
        <f>B12+B13+B14+B15</f>
        <v>-150.72791662735017</v>
      </c>
      <c r="C16" s="1">
        <f t="shared" ref="C16:E16" si="1">C12+C13+C14+C15</f>
        <v>-427.83620864487841</v>
      </c>
      <c r="D16" s="1">
        <f t="shared" si="1"/>
        <v>-1085.635943798952</v>
      </c>
      <c r="E16" s="1">
        <f t="shared" si="1"/>
        <v>-1664.2000690711807</v>
      </c>
    </row>
    <row r="18" spans="1:5" x14ac:dyDescent="0.25">
      <c r="A18" s="1" t="s">
        <v>246</v>
      </c>
      <c r="B18" s="1">
        <f>B9+B16</f>
        <v>329.29439088446418</v>
      </c>
      <c r="C18" s="1">
        <f t="shared" ref="C18:E18" si="2">C9+C16</f>
        <v>841.1688231205552</v>
      </c>
      <c r="D18" s="1">
        <f t="shared" si="2"/>
        <v>2120.9778749701172</v>
      </c>
      <c r="E18" s="1">
        <f t="shared" si="2"/>
        <v>3291.4410889751366</v>
      </c>
    </row>
    <row r="19" spans="1:5" x14ac:dyDescent="0.25">
      <c r="A19" s="1" t="s">
        <v>247</v>
      </c>
      <c r="B19" s="1">
        <f>IF(B18&gt;0,-B18*tax_rate,0)</f>
        <v>-98.788317265339245</v>
      </c>
      <c r="C19" s="1">
        <f>IF(C18&gt;0,-C18*tax_rate,0)</f>
        <v>-252.35064693616656</v>
      </c>
      <c r="D19" s="1">
        <f>IF(D18&gt;0,-D18*tax_rate,0)</f>
        <v>-636.29336249103517</v>
      </c>
      <c r="E19" s="1">
        <f>IF(E18&gt;0,-E18*tax_rate,0)</f>
        <v>-987.43232669254098</v>
      </c>
    </row>
    <row r="20" spans="1:5" x14ac:dyDescent="0.25">
      <c r="A20" s="1" t="s">
        <v>248</v>
      </c>
      <c r="B20" s="1">
        <f>B18+B19</f>
        <v>230.50607361912495</v>
      </c>
      <c r="C20" s="1">
        <f t="shared" ref="C20:E20" si="3">C18+C19</f>
        <v>588.81817618438868</v>
      </c>
      <c r="D20" s="1">
        <f t="shared" si="3"/>
        <v>1484.6845124790821</v>
      </c>
      <c r="E20" s="1">
        <f t="shared" si="3"/>
        <v>2304.0087622825959</v>
      </c>
    </row>
    <row r="22" spans="1:5" x14ac:dyDescent="0.25">
      <c r="A22" s="1" t="s">
        <v>249</v>
      </c>
    </row>
    <row r="23" spans="1:5" x14ac:dyDescent="0.25">
      <c r="A23" s="1" t="s">
        <v>250</v>
      </c>
      <c r="B23" s="1">
        <f>IFERROR(B20/B9,0)</f>
        <v>0.48019866996171157</v>
      </c>
      <c r="C23" s="1">
        <f t="shared" ref="C23:E23" si="4">IFERROR(C20/C9,0)</f>
        <v>0.46399987505583623</v>
      </c>
      <c r="D23" s="1">
        <f t="shared" si="4"/>
        <v>0.46300695886385579</v>
      </c>
      <c r="E23" s="1">
        <f t="shared" si="4"/>
        <v>0.46492647243871765</v>
      </c>
    </row>
    <row r="24" spans="1:5" x14ac:dyDescent="0.25">
      <c r="A24" s="1" t="s">
        <v>251</v>
      </c>
      <c r="B24" s="1">
        <f>IFERROR(ABS(B16)/B9,0)</f>
        <v>0.31400190005469786</v>
      </c>
      <c r="C24" s="1">
        <f t="shared" ref="C24:E24" si="5">IFERROR(ABS(C16)/C9,0)</f>
        <v>0.33714303563451969</v>
      </c>
      <c r="D24" s="1">
        <f t="shared" si="5"/>
        <v>0.33856148733734881</v>
      </c>
      <c r="E24" s="1">
        <f t="shared" si="5"/>
        <v>0.33581932508754631</v>
      </c>
    </row>
    <row r="25" spans="1:5" x14ac:dyDescent="0.25">
      <c r="A25" s="1" t="s">
        <v>252</v>
      </c>
      <c r="B25" s="7">
        <f>IFERROR(B20/AVERAGE(PORTFOLIO!C20:N20),0)</f>
        <v>0.3168610315619097</v>
      </c>
      <c r="C25" s="7">
        <f>IFERROR(C20/AVERAGE(PORTFOLIO!O20:Z20),0)</f>
        <v>0.30498026857230182</v>
      </c>
      <c r="D25" s="7">
        <f>IFERROR(D20/AVERAGE(PORTFOLIO!AA20:AL20),0)</f>
        <v>0.30322211217883965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B8280-6CAC-49F6-9B32-62E8A8ECCF12}">
  <dimension ref="A1:E54"/>
  <sheetViews>
    <sheetView topLeftCell="A42" workbookViewId="0">
      <selection activeCell="B54" sqref="B54"/>
    </sheetView>
  </sheetViews>
  <sheetFormatPr defaultRowHeight="15" x14ac:dyDescent="0.25"/>
  <cols>
    <col min="1" max="1" width="33" style="1" bestFit="1" customWidth="1"/>
    <col min="2" max="2" width="37.28515625" style="1" bestFit="1" customWidth="1"/>
    <col min="3" max="3" width="39.140625" style="1" bestFit="1" customWidth="1"/>
    <col min="4" max="4" width="9.140625" style="1"/>
    <col min="5" max="5" width="11.140625" style="1" bestFit="1" customWidth="1"/>
    <col min="6" max="16384" width="9.140625" style="1"/>
  </cols>
  <sheetData>
    <row r="1" spans="1:5" ht="51" customHeight="1" x14ac:dyDescent="0.25">
      <c r="A1" s="2" t="s">
        <v>253</v>
      </c>
    </row>
    <row r="2" spans="1:5" ht="63" customHeight="1" x14ac:dyDescent="0.25">
      <c r="A2" s="2" t="s">
        <v>254</v>
      </c>
    </row>
    <row r="3" spans="1:5" ht="37.5" customHeight="1" x14ac:dyDescent="0.25">
      <c r="A3" s="2" t="s">
        <v>261</v>
      </c>
    </row>
    <row r="5" spans="1:5" x14ac:dyDescent="0.25">
      <c r="A5" s="1" t="s">
        <v>255</v>
      </c>
    </row>
    <row r="6" spans="1:5" x14ac:dyDescent="0.25">
      <c r="A6" s="1" t="s">
        <v>256</v>
      </c>
      <c r="B6" s="1">
        <f>PORTFOLIO!B40</f>
        <v>7229.6623422944467</v>
      </c>
      <c r="C6" s="1" t="s">
        <v>263</v>
      </c>
    </row>
    <row r="7" spans="1:5" x14ac:dyDescent="0.25">
      <c r="A7" s="1" t="s">
        <v>257</v>
      </c>
      <c r="B7" s="1">
        <f>B6*equity_ratio</f>
        <v>2168.8987026883337</v>
      </c>
      <c r="C7" s="1" t="s">
        <v>264</v>
      </c>
    </row>
    <row r="8" spans="1:5" x14ac:dyDescent="0.25">
      <c r="A8" s="1" t="s">
        <v>258</v>
      </c>
      <c r="B8" s="1">
        <f>B6*(1-equity_ratio)</f>
        <v>5060.7636396061125</v>
      </c>
      <c r="C8" s="1" t="s">
        <v>265</v>
      </c>
    </row>
    <row r="9" spans="1:5" x14ac:dyDescent="0.25">
      <c r="A9" s="1" t="s">
        <v>259</v>
      </c>
      <c r="B9" s="1">
        <f>B7+B8</f>
        <v>7229.6623422944467</v>
      </c>
      <c r="C9" s="1" t="s">
        <v>266</v>
      </c>
    </row>
    <row r="10" spans="1:5" x14ac:dyDescent="0.25">
      <c r="A10" s="1" t="s">
        <v>262</v>
      </c>
      <c r="B10" s="7">
        <f>B7/B9</f>
        <v>0.3</v>
      </c>
      <c r="C10" s="1" t="s">
        <v>267</v>
      </c>
    </row>
    <row r="12" spans="1:5" ht="30" x14ac:dyDescent="0.25">
      <c r="A12" s="4" t="s">
        <v>268</v>
      </c>
      <c r="B12" s="3"/>
      <c r="C12" s="3"/>
      <c r="D12" s="3"/>
      <c r="E12" s="3"/>
    </row>
    <row r="13" spans="1:5" x14ac:dyDescent="0.25">
      <c r="A13" s="4"/>
      <c r="B13" s="9" t="s">
        <v>232</v>
      </c>
      <c r="C13" s="9" t="s">
        <v>233</v>
      </c>
      <c r="D13" s="9" t="s">
        <v>234</v>
      </c>
      <c r="E13" s="9" t="s">
        <v>235</v>
      </c>
    </row>
    <row r="14" spans="1:5" x14ac:dyDescent="0.25">
      <c r="A14" s="3" t="s">
        <v>269</v>
      </c>
      <c r="B14" s="9">
        <f>INCOME_STATEMENT!B$9</f>
        <v>480.02230751181435</v>
      </c>
      <c r="C14" s="9">
        <f>INCOME_STATEMENT!C$9</f>
        <v>1269.0050317654336</v>
      </c>
      <c r="D14" s="9">
        <f>INCOME_STATEMENT!D$9</f>
        <v>3206.6138187690694</v>
      </c>
      <c r="E14" s="9">
        <f>INCOME_STATEMENT!E$9</f>
        <v>4955.6411580463173</v>
      </c>
    </row>
    <row r="15" spans="1:5" x14ac:dyDescent="0.25">
      <c r="A15" s="3" t="s">
        <v>270</v>
      </c>
      <c r="B15" s="9">
        <f>INCOME_STATEMENT!B$16</f>
        <v>-150.72791662735017</v>
      </c>
      <c r="C15" s="9">
        <f>INCOME_STATEMENT!C$16</f>
        <v>-427.83620864487841</v>
      </c>
      <c r="D15" s="9">
        <f>INCOME_STATEMENT!D$16</f>
        <v>-1085.635943798952</v>
      </c>
      <c r="E15" s="9">
        <f>INCOME_STATEMENT!E$16</f>
        <v>-1664.2000690711807</v>
      </c>
    </row>
    <row r="16" spans="1:5" x14ac:dyDescent="0.25">
      <c r="A16" s="3" t="s">
        <v>271</v>
      </c>
      <c r="B16" s="9">
        <f>INCOME_STATEMENT!B$18</f>
        <v>329.29439088446418</v>
      </c>
      <c r="C16" s="9">
        <f>INCOME_STATEMENT!C$18</f>
        <v>841.1688231205552</v>
      </c>
      <c r="D16" s="9">
        <f>INCOME_STATEMENT!D$18</f>
        <v>2120.9778749701172</v>
      </c>
      <c r="E16" s="9">
        <f>INCOME_STATEMENT!E$18</f>
        <v>3291.4410889751366</v>
      </c>
    </row>
    <row r="17" spans="1:5" x14ac:dyDescent="0.25">
      <c r="A17" s="3" t="s">
        <v>272</v>
      </c>
      <c r="B17" s="9">
        <f>INCOME_STATEMENT!B$20</f>
        <v>230.50607361912495</v>
      </c>
      <c r="C17" s="9">
        <f>INCOME_STATEMENT!C$20</f>
        <v>588.81817618438868</v>
      </c>
      <c r="D17" s="9">
        <f>INCOME_STATEMENT!D$20</f>
        <v>1484.6845124790821</v>
      </c>
      <c r="E17" s="9">
        <f>INCOME_STATEMENT!E$20</f>
        <v>2304.0087622825959</v>
      </c>
    </row>
    <row r="18" spans="1:5" x14ac:dyDescent="0.25">
      <c r="A18" s="3" t="s">
        <v>250</v>
      </c>
      <c r="B18" s="10">
        <f>INCOME_STATEMENT!B$23</f>
        <v>0.48019866996171157</v>
      </c>
      <c r="C18" s="10">
        <f>INCOME_STATEMENT!C$23</f>
        <v>0.46399987505583623</v>
      </c>
      <c r="D18" s="10">
        <f>INCOME_STATEMENT!D$23</f>
        <v>0.46300695886385579</v>
      </c>
      <c r="E18" s="10">
        <f>IFERROR(E17/E14,0)</f>
        <v>0.46492647243871765</v>
      </c>
    </row>
    <row r="20" spans="1:5" x14ac:dyDescent="0.25">
      <c r="A20" s="1" t="s">
        <v>273</v>
      </c>
    </row>
    <row r="21" spans="1:5" x14ac:dyDescent="0.25">
      <c r="A21" s="1" t="s">
        <v>274</v>
      </c>
      <c r="B21" s="1">
        <f>INCOME_STATEMENT!D18</f>
        <v>2120.9778749701172</v>
      </c>
      <c r="C21" s="1" t="s">
        <v>279</v>
      </c>
    </row>
    <row r="22" spans="1:5" x14ac:dyDescent="0.25">
      <c r="A22" s="1" t="s">
        <v>275</v>
      </c>
      <c r="B22" s="1">
        <f>exit_multiple_ebitda</f>
        <v>8</v>
      </c>
      <c r="C22" s="1" t="s">
        <v>280</v>
      </c>
    </row>
    <row r="23" spans="1:5" x14ac:dyDescent="0.25">
      <c r="A23" s="1" t="s">
        <v>276</v>
      </c>
      <c r="B23" s="1">
        <f>B21*B22</f>
        <v>16967.822999760938</v>
      </c>
      <c r="C23" s="1" t="s">
        <v>281</v>
      </c>
    </row>
    <row r="24" spans="1:5" x14ac:dyDescent="0.25">
      <c r="A24" s="1" t="s">
        <v>277</v>
      </c>
      <c r="B24" s="1">
        <f>-B8*(1-SUM(PORTFOLIO!C16:AL16)/SUM(PORTFOLIO!C15:AL15))</f>
        <v>-827.35852959647309</v>
      </c>
      <c r="C24" s="1" t="s">
        <v>282</v>
      </c>
    </row>
    <row r="25" spans="1:5" x14ac:dyDescent="0.25">
      <c r="A25" s="1" t="s">
        <v>278</v>
      </c>
      <c r="B25" s="1">
        <f>B23+B24</f>
        <v>16140.464470164465</v>
      </c>
      <c r="C25" s="1" t="s">
        <v>283</v>
      </c>
    </row>
    <row r="27" spans="1:5" ht="30" x14ac:dyDescent="0.25">
      <c r="A27" s="2" t="s">
        <v>284</v>
      </c>
    </row>
    <row r="28" spans="1:5" ht="60" x14ac:dyDescent="0.25">
      <c r="A28" s="2" t="s">
        <v>285</v>
      </c>
    </row>
    <row r="30" spans="1:5" x14ac:dyDescent="0.25">
      <c r="A30" s="1" t="s">
        <v>260</v>
      </c>
      <c r="B30" s="1">
        <f>-B7</f>
        <v>-2168.8987026883337</v>
      </c>
      <c r="C30" s="1" t="s">
        <v>289</v>
      </c>
    </row>
    <row r="31" spans="1:5" x14ac:dyDescent="0.25">
      <c r="A31" s="1" t="s">
        <v>286</v>
      </c>
      <c r="B31" s="1">
        <f>IF(B17&gt;0,B17*0.5,0)</f>
        <v>115.25303680956247</v>
      </c>
      <c r="C31" s="1" t="s">
        <v>290</v>
      </c>
    </row>
    <row r="32" spans="1:5" x14ac:dyDescent="0.25">
      <c r="A32" s="1" t="s">
        <v>287</v>
      </c>
      <c r="B32" s="1">
        <f>IF(C17&gt;0,C17*0.5,0)</f>
        <v>294.40908809219434</v>
      </c>
      <c r="C32" s="1" t="s">
        <v>291</v>
      </c>
    </row>
    <row r="33" spans="1:4" x14ac:dyDescent="0.25">
      <c r="A33" s="1" t="s">
        <v>288</v>
      </c>
      <c r="B33" s="1">
        <f>IF(D17&gt;0,D17*0.5,0)+B25</f>
        <v>16882.806726404007</v>
      </c>
      <c r="C33" s="1" t="s">
        <v>292</v>
      </c>
    </row>
    <row r="35" spans="1:4" x14ac:dyDescent="0.25">
      <c r="A35" s="1" t="s">
        <v>293</v>
      </c>
    </row>
    <row r="36" spans="1:4" x14ac:dyDescent="0.25">
      <c r="A36" s="1" t="s">
        <v>294</v>
      </c>
      <c r="B36" s="1">
        <f>IFERROR(IRR(B30:B33),"Check cashflows — may need more years")</f>
        <v>1.0227431475234487</v>
      </c>
      <c r="C36" s="1" t="s">
        <v>300</v>
      </c>
    </row>
    <row r="37" spans="1:4" x14ac:dyDescent="0.25">
      <c r="A37" s="1" t="s">
        <v>295</v>
      </c>
      <c r="B37" s="1">
        <f>IFERROR(B36*(1-tax_rate),"Check B36")</f>
        <v>0.71592020326641403</v>
      </c>
      <c r="C37" s="1" t="s">
        <v>301</v>
      </c>
    </row>
    <row r="38" spans="1:4" x14ac:dyDescent="0.25">
      <c r="A38" s="1" t="s">
        <v>296</v>
      </c>
      <c r="B38" s="1">
        <f>IFERROR((B31+B32+B33)/(-B30),"Check cashflows")</f>
        <v>7.9729259968996598</v>
      </c>
      <c r="C38" s="1" t="s">
        <v>302</v>
      </c>
    </row>
    <row r="39" spans="1:4" x14ac:dyDescent="0.25">
      <c r="A39" s="1" t="s">
        <v>297</v>
      </c>
      <c r="B39" s="1">
        <f>IFERROR((B31+B32)/(-B30),"Check")</f>
        <v>0.18888024802356312</v>
      </c>
      <c r="C39" s="1" t="s">
        <v>303</v>
      </c>
    </row>
    <row r="40" spans="1:4" x14ac:dyDescent="0.25">
      <c r="A40" s="1" t="s">
        <v>298</v>
      </c>
      <c r="B40" s="1">
        <f>IFERROR((B31+B32+B25)/(-B30),"Check")</f>
        <v>7.6306590872835427</v>
      </c>
      <c r="C40" s="1" t="s">
        <v>304</v>
      </c>
    </row>
    <row r="41" spans="1:4" x14ac:dyDescent="0.25">
      <c r="A41" s="1" t="s">
        <v>299</v>
      </c>
      <c r="B41" s="1">
        <f>IF(B31&gt;=-B30,1,IF(B31+B32&gt;=-B30,2,IF(B31+B32+B33&gt;=-B30,3,"Beyond Year 3")))</f>
        <v>3</v>
      </c>
      <c r="C41" s="1" t="s">
        <v>305</v>
      </c>
    </row>
    <row r="43" spans="1:4" x14ac:dyDescent="0.25">
      <c r="A43" s="1" t="s">
        <v>306</v>
      </c>
    </row>
    <row r="44" spans="1:4" x14ac:dyDescent="0.25">
      <c r="A44" s="1" t="s">
        <v>307</v>
      </c>
      <c r="B44" s="11" t="s">
        <v>308</v>
      </c>
      <c r="C44" s="11" t="s">
        <v>309</v>
      </c>
      <c r="D44" s="11" t="s">
        <v>310</v>
      </c>
    </row>
    <row r="45" spans="1:4" x14ac:dyDescent="0.25">
      <c r="A45" s="1" t="s">
        <v>311</v>
      </c>
      <c r="B45" s="11" t="s">
        <v>315</v>
      </c>
      <c r="C45" s="12">
        <f>B36</f>
        <v>1.0227431475234487</v>
      </c>
      <c r="D45" s="11" t="str">
        <f>IF(B36&gt;target_IRR,"✓ PASS","✗ FAIL")</f>
        <v>✓ PASS</v>
      </c>
    </row>
    <row r="46" spans="1:4" x14ac:dyDescent="0.25">
      <c r="A46" s="1" t="s">
        <v>295</v>
      </c>
      <c r="B46" s="11" t="s">
        <v>316</v>
      </c>
      <c r="C46" s="12">
        <f t="shared" ref="C46:C48" si="0">B37</f>
        <v>0.71592020326641403</v>
      </c>
      <c r="D46" s="11" t="str">
        <f>IF(B37&gt;0.15,"✓ PASS","✗ FAIL")</f>
        <v>✓ PASS</v>
      </c>
    </row>
    <row r="47" spans="1:4" x14ac:dyDescent="0.25">
      <c r="A47" s="1" t="s">
        <v>296</v>
      </c>
      <c r="B47" s="11" t="s">
        <v>317</v>
      </c>
      <c r="C47" s="12">
        <f t="shared" si="0"/>
        <v>7.9729259968996598</v>
      </c>
      <c r="D47" s="11" t="str">
        <f>IF(B38&gt;2.5,"✓ PASS","✗ FAIL")</f>
        <v>✓ PASS</v>
      </c>
    </row>
    <row r="48" spans="1:4" x14ac:dyDescent="0.25">
      <c r="A48" s="1" t="s">
        <v>312</v>
      </c>
      <c r="B48" s="11" t="s">
        <v>318</v>
      </c>
      <c r="C48" s="11">
        <f t="shared" si="0"/>
        <v>0.18888024802356312</v>
      </c>
      <c r="D48" s="11" t="str">
        <f>IF(B39&gt;0.5,"✓ PASS","✗ FAIL")</f>
        <v>✗ FAIL</v>
      </c>
    </row>
    <row r="49" spans="1:4" x14ac:dyDescent="0.25">
      <c r="A49" s="1" t="s">
        <v>313</v>
      </c>
      <c r="B49" s="11" t="s">
        <v>319</v>
      </c>
      <c r="C49" s="12">
        <f>MAX(PORTFOLIO!C33:AL33)</f>
        <v>6.1390131277874746E-3</v>
      </c>
      <c r="D49" s="11" t="str">
        <f>IF(C49&lt;0.15,"✓ PASS","✗ FAIL")</f>
        <v>✓ PASS</v>
      </c>
    </row>
    <row r="50" spans="1:4" x14ac:dyDescent="0.25">
      <c r="A50" s="1" t="s">
        <v>314</v>
      </c>
      <c r="B50" s="11" t="s">
        <v>320</v>
      </c>
      <c r="C50" s="11">
        <f>B16</f>
        <v>329.29439088446418</v>
      </c>
      <c r="D50" s="11" t="str">
        <f>IF(B16&gt;0,"✓ PASS","✗ FAIL")</f>
        <v>✓ PASS</v>
      </c>
    </row>
    <row r="52" spans="1:4" x14ac:dyDescent="0.25">
      <c r="A52" s="1" t="s">
        <v>321</v>
      </c>
      <c r="B52" s="1" t="str">
        <f>COUNTIF(D45:D50,"✓ PASS")&amp;" of 6 criteria"</f>
        <v>5 of 6 criteria</v>
      </c>
    </row>
    <row r="53" spans="1:4" x14ac:dyDescent="0.25">
      <c r="A53" s="1" t="s">
        <v>322</v>
      </c>
      <c r="B53" s="1" t="str">
        <f>IF(COUNTIF(D45:D50,"✗ FAIL")=0,"INVEST — All criteria met",IF(COUNTIF(D45:D50,"✗ FAIL")&lt;=1,"CONDITIONAL — Review failed criterion","FURTHER REVIEW REQUIRED"))</f>
        <v>CONDITIONAL — Review failed criterion</v>
      </c>
    </row>
    <row r="54" spans="1:4" x14ac:dyDescent="0.25">
      <c r="A54" s="1" t="s">
        <v>323</v>
      </c>
      <c r="B54" s="1" t="str">
        <f>IF(D45="✗ FAIL","WARNING: Base IRR below 25% hurdle — do not proceed without assumption review",IF(D49="✗ FAIL","WARNING: NPL ratio exceeds 15% — credit model requires recalibration","All critical conditions met"))</f>
        <v>All critical conditions met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2DE91-1F5B-44CA-A6C5-16616196E666}">
  <dimension ref="A1:F68"/>
  <sheetViews>
    <sheetView topLeftCell="A54" workbookViewId="0">
      <selection activeCell="D68" sqref="D68"/>
    </sheetView>
  </sheetViews>
  <sheetFormatPr defaultRowHeight="15" x14ac:dyDescent="0.25"/>
  <cols>
    <col min="1" max="1" width="35.42578125" style="1" bestFit="1" customWidth="1"/>
    <col min="2" max="2" width="10.5703125" style="1" customWidth="1"/>
    <col min="3" max="3" width="14.42578125" style="1" bestFit="1" customWidth="1"/>
    <col min="4" max="4" width="22.7109375" style="1" bestFit="1" customWidth="1"/>
    <col min="5" max="5" width="14" style="1" bestFit="1" customWidth="1"/>
    <col min="6" max="6" width="40.140625" style="1" customWidth="1"/>
    <col min="7" max="16384" width="9.140625" style="1"/>
  </cols>
  <sheetData>
    <row r="1" spans="1:5" ht="47.25" customHeight="1" x14ac:dyDescent="0.25">
      <c r="A1" s="2" t="s">
        <v>324</v>
      </c>
    </row>
    <row r="2" spans="1:5" ht="47.25" customHeight="1" x14ac:dyDescent="0.25">
      <c r="A2" s="2" t="s">
        <v>325</v>
      </c>
    </row>
    <row r="3" spans="1:5" ht="48.75" customHeight="1" x14ac:dyDescent="0.25">
      <c r="A3" s="2" t="s">
        <v>326</v>
      </c>
    </row>
    <row r="5" spans="1:5" x14ac:dyDescent="0.25">
      <c r="A5" s="1" t="s">
        <v>327</v>
      </c>
    </row>
    <row r="6" spans="1:5" x14ac:dyDescent="0.25">
      <c r="A6" s="1" t="s">
        <v>328</v>
      </c>
      <c r="B6" s="1" t="s">
        <v>335</v>
      </c>
      <c r="C6" s="1" t="s">
        <v>336</v>
      </c>
      <c r="D6" s="1" t="s">
        <v>337</v>
      </c>
      <c r="E6" s="1" t="s">
        <v>338</v>
      </c>
    </row>
    <row r="7" spans="1:5" x14ac:dyDescent="0.25">
      <c r="A7" s="1" t="s">
        <v>329</v>
      </c>
      <c r="B7" s="11">
        <v>0</v>
      </c>
      <c r="C7" s="11">
        <v>2</v>
      </c>
      <c r="D7" s="11">
        <v>5</v>
      </c>
      <c r="E7" s="11">
        <v>0</v>
      </c>
    </row>
    <row r="8" spans="1:5" x14ac:dyDescent="0.25">
      <c r="A8" s="1" t="s">
        <v>330</v>
      </c>
      <c r="B8" s="11">
        <v>0</v>
      </c>
      <c r="C8" s="11">
        <v>3</v>
      </c>
      <c r="D8" s="11">
        <v>6</v>
      </c>
      <c r="E8" s="11">
        <v>0</v>
      </c>
    </row>
    <row r="9" spans="1:5" x14ac:dyDescent="0.25">
      <c r="A9" s="1" t="s">
        <v>331</v>
      </c>
      <c r="B9" s="11">
        <v>0</v>
      </c>
      <c r="C9" s="11">
        <v>1.5</v>
      </c>
      <c r="D9" s="11">
        <v>4</v>
      </c>
      <c r="E9" s="11">
        <v>0</v>
      </c>
    </row>
    <row r="10" spans="1:5" x14ac:dyDescent="0.25">
      <c r="A10" s="1" t="s">
        <v>332</v>
      </c>
      <c r="B10" s="11">
        <v>0</v>
      </c>
      <c r="C10" s="11">
        <v>0</v>
      </c>
      <c r="D10" s="11">
        <v>0</v>
      </c>
      <c r="E10" s="11">
        <v>8</v>
      </c>
    </row>
    <row r="11" spans="1:5" ht="30" customHeight="1" x14ac:dyDescent="0.25">
      <c r="A11" s="1" t="s">
        <v>333</v>
      </c>
      <c r="B11" s="8" t="s">
        <v>339</v>
      </c>
      <c r="C11" s="8" t="s">
        <v>341</v>
      </c>
      <c r="D11" s="8" t="s">
        <v>344</v>
      </c>
      <c r="E11" s="8" t="s">
        <v>345</v>
      </c>
    </row>
    <row r="12" spans="1:5" ht="30" x14ac:dyDescent="0.25">
      <c r="A12" s="1" t="s">
        <v>334</v>
      </c>
      <c r="B12" s="8" t="s">
        <v>340</v>
      </c>
      <c r="C12" s="8" t="s">
        <v>342</v>
      </c>
      <c r="D12" s="8" t="s">
        <v>343</v>
      </c>
      <c r="E12" s="8" t="s">
        <v>346</v>
      </c>
    </row>
    <row r="13" spans="1:5" x14ac:dyDescent="0.25">
      <c r="B13" s="11"/>
      <c r="C13" s="11"/>
      <c r="D13" s="11"/>
      <c r="E13" s="11"/>
    </row>
    <row r="14" spans="1:5" x14ac:dyDescent="0.25">
      <c r="A14" s="1" t="s">
        <v>347</v>
      </c>
      <c r="B14" s="11"/>
      <c r="C14" s="11"/>
      <c r="D14" s="11"/>
      <c r="E14" s="11"/>
    </row>
    <row r="15" spans="1:5" ht="45.75" customHeight="1" x14ac:dyDescent="0.25">
      <c r="A15" s="13" t="s">
        <v>348</v>
      </c>
      <c r="B15" s="11"/>
      <c r="C15" s="11"/>
      <c r="D15" s="11"/>
      <c r="E15" s="11"/>
    </row>
    <row r="16" spans="1:5" x14ac:dyDescent="0.25">
      <c r="A16" s="1" t="s">
        <v>349</v>
      </c>
      <c r="B16" s="12">
        <f>PD_prime</f>
        <v>3.2000000000000001E-2</v>
      </c>
      <c r="C16" s="12">
        <f>PD_prime*(1+unemp_elasticity*C7+inflation_elasticity*C8+rate_elasticity*C9)</f>
        <v>5.6959999999999997E-2</v>
      </c>
      <c r="D16" s="12">
        <f>PD_prime*(1+unemp_elasticity*D7+inflation_elasticity*D8+rate_elasticity*D9)</f>
        <v>9.1520000000000004E-2</v>
      </c>
      <c r="E16" s="12">
        <f>PD_prime</f>
        <v>3.2000000000000001E-2</v>
      </c>
    </row>
    <row r="17" spans="1:6" x14ac:dyDescent="0.25">
      <c r="A17" s="1" t="s">
        <v>350</v>
      </c>
      <c r="B17" s="12">
        <f>PD_nearprime</f>
        <v>7.6999999999999999E-2</v>
      </c>
      <c r="C17" s="12">
        <f>PD_nearprime*(1+unemp_elasticity*C7+inflation_elasticity*C8+rate_elasticity*C9)</f>
        <v>0.13705999999999999</v>
      </c>
      <c r="D17" s="12">
        <f>PD_nearprime*(1+unemp_elasticity*D7+inflation_elasticity*D8+rate_elasticity*D9)</f>
        <v>0.22022</v>
      </c>
      <c r="E17" s="12">
        <f>PD_nearprime</f>
        <v>7.6999999999999999E-2</v>
      </c>
    </row>
    <row r="18" spans="1:6" x14ac:dyDescent="0.25">
      <c r="A18" s="1" t="s">
        <v>351</v>
      </c>
      <c r="B18" s="12">
        <f>PD_subprime</f>
        <v>0.2006</v>
      </c>
      <c r="C18" s="12">
        <f>PD_subprime*(1+unemp_elasticity*C7+inflation_elasticity*C8+rate_elasticity*C9)</f>
        <v>0.35706799999999994</v>
      </c>
      <c r="D18" s="12">
        <f>PD_subprime*(1+unemp_elasticity*D7+inflation_elasticity*D8+rate_elasticity*D9)</f>
        <v>0.573716</v>
      </c>
      <c r="E18" s="12">
        <f>PD_subprime</f>
        <v>0.2006</v>
      </c>
    </row>
    <row r="19" spans="1:6" x14ac:dyDescent="0.25">
      <c r="A19" s="1" t="s">
        <v>352</v>
      </c>
      <c r="B19" s="12">
        <f>SUMPRODUCT(B16:B18,ASSUMPTIONS!B40:B42)</f>
        <v>8.5970000000000005E-2</v>
      </c>
      <c r="C19" s="12">
        <f>SUMPRODUCT(C16:C18,ASSUMPTIONS!B40:B42)</f>
        <v>0.15302659999999998</v>
      </c>
      <c r="D19" s="12">
        <f>SUMPRODUCT(D16:D18,ASSUMPTIONS!B40:B42)</f>
        <v>0.24587419999999999</v>
      </c>
      <c r="E19" s="12">
        <f>SUMPRODUCT(E16:E18,ASSUMPTIONS!B40:B42)</f>
        <v>8.5970000000000005E-2</v>
      </c>
    </row>
    <row r="20" spans="1:6" x14ac:dyDescent="0.25">
      <c r="A20" s="1" t="s">
        <v>353</v>
      </c>
      <c r="B20" s="12">
        <f>0</f>
        <v>0</v>
      </c>
      <c r="C20" s="12">
        <f>C19-B19</f>
        <v>6.705659999999998E-2</v>
      </c>
      <c r="D20" s="12">
        <f>D19-B19</f>
        <v>0.1599042</v>
      </c>
      <c r="E20" s="12">
        <f>E19-B19</f>
        <v>0</v>
      </c>
    </row>
    <row r="21" spans="1:6" x14ac:dyDescent="0.25">
      <c r="B21" s="11"/>
      <c r="C21" s="11"/>
      <c r="D21" s="11"/>
      <c r="E21" s="11"/>
    </row>
    <row r="22" spans="1:6" x14ac:dyDescent="0.25">
      <c r="A22" s="1" t="s">
        <v>354</v>
      </c>
      <c r="B22" s="11"/>
      <c r="C22" s="11"/>
      <c r="D22" s="11"/>
      <c r="E22" s="11"/>
    </row>
    <row r="23" spans="1:6" x14ac:dyDescent="0.25">
      <c r="A23" s="1" t="s">
        <v>355</v>
      </c>
      <c r="B23" s="12">
        <f>portfolio_LGD</f>
        <v>0.44500000000000001</v>
      </c>
      <c r="C23" s="12">
        <f>portfolio_LGD</f>
        <v>0.44500000000000001</v>
      </c>
      <c r="D23" s="12">
        <f>portfolio_LGD+LGD_recession_uplift</f>
        <v>0.54500000000000004</v>
      </c>
      <c r="E23" s="12">
        <f>portfolio_LGD</f>
        <v>0.44500000000000001</v>
      </c>
    </row>
    <row r="24" spans="1:6" x14ac:dyDescent="0.25">
      <c r="A24" s="1" t="s">
        <v>356</v>
      </c>
      <c r="B24" s="12">
        <f>B19*B23</f>
        <v>3.8256650000000003E-2</v>
      </c>
      <c r="C24" s="12">
        <f>C19*C23</f>
        <v>6.8096836999999993E-2</v>
      </c>
      <c r="D24" s="12">
        <f>D19*D23</f>
        <v>0.134001439</v>
      </c>
      <c r="E24" s="12">
        <f>E19*E23</f>
        <v>3.8256650000000003E-2</v>
      </c>
    </row>
    <row r="25" spans="1:6" x14ac:dyDescent="0.25">
      <c r="A25" s="1" t="s">
        <v>357</v>
      </c>
      <c r="B25" s="12">
        <f>0</f>
        <v>0</v>
      </c>
      <c r="C25" s="12">
        <f>C24-B24</f>
        <v>2.984018699999999E-2</v>
      </c>
      <c r="D25" s="12">
        <f>D24-B24</f>
        <v>9.5744788999999997E-2</v>
      </c>
      <c r="E25" s="12">
        <f>E24-B24</f>
        <v>0</v>
      </c>
    </row>
    <row r="26" spans="1:6" x14ac:dyDescent="0.25">
      <c r="B26" s="11"/>
      <c r="C26" s="11"/>
      <c r="D26" s="11"/>
      <c r="E26" s="11"/>
    </row>
    <row r="27" spans="1:6" x14ac:dyDescent="0.25">
      <c r="A27" s="1" t="s">
        <v>358</v>
      </c>
      <c r="B27" s="11"/>
      <c r="C27" s="11"/>
      <c r="D27" s="11"/>
      <c r="E27" s="11"/>
    </row>
    <row r="28" spans="1:6" x14ac:dyDescent="0.25">
      <c r="A28" s="1" t="s">
        <v>359</v>
      </c>
      <c r="B28" s="12">
        <f>RISK_SEGMENTS!G9</f>
        <v>0.31825665000000003</v>
      </c>
      <c r="C28" s="12">
        <f>B28</f>
        <v>0.31825665000000003</v>
      </c>
      <c r="D28" s="12">
        <f>B28</f>
        <v>0.31825665000000003</v>
      </c>
      <c r="E28" s="12">
        <f>MAX(B28-(E10/100),cost_of_debt+0.02)</f>
        <v>0.23825665000000001</v>
      </c>
    </row>
    <row r="29" spans="1:6" x14ac:dyDescent="0.25">
      <c r="A29" s="1" t="s">
        <v>360</v>
      </c>
      <c r="B29" s="12">
        <v>1</v>
      </c>
      <c r="C29" s="12">
        <v>1</v>
      </c>
      <c r="D29" s="12">
        <v>0.93</v>
      </c>
      <c r="E29" s="12">
        <f>E28/B28</f>
        <v>0.74863054707576415</v>
      </c>
    </row>
    <row r="30" spans="1:6" ht="36" customHeight="1" x14ac:dyDescent="0.25">
      <c r="A30" s="1" t="s">
        <v>361</v>
      </c>
      <c r="B30" s="12">
        <f>0</f>
        <v>0</v>
      </c>
      <c r="C30" s="12">
        <f>0</f>
        <v>0</v>
      </c>
      <c r="D30" s="12">
        <f>0</f>
        <v>0</v>
      </c>
      <c r="E30" s="12">
        <f>B28-E28</f>
        <v>8.0000000000000016E-2</v>
      </c>
      <c r="F30" s="2" t="s">
        <v>362</v>
      </c>
    </row>
    <row r="31" spans="1:6" x14ac:dyDescent="0.25">
      <c r="B31" s="11"/>
      <c r="C31" s="11"/>
      <c r="D31" s="11"/>
      <c r="E31" s="11"/>
    </row>
    <row r="32" spans="1:6" x14ac:dyDescent="0.25">
      <c r="A32" s="1" t="s">
        <v>363</v>
      </c>
      <c r="B32" s="11"/>
      <c r="C32" s="11"/>
      <c r="D32" s="11"/>
      <c r="E32" s="11"/>
    </row>
    <row r="33" spans="1:5" ht="60.75" customHeight="1" x14ac:dyDescent="0.25">
      <c r="A33" s="2" t="s">
        <v>364</v>
      </c>
      <c r="B33" s="11"/>
      <c r="C33" s="11"/>
      <c r="D33" s="11"/>
      <c r="E33" s="11"/>
    </row>
    <row r="34" spans="1:5" x14ac:dyDescent="0.25">
      <c r="A34" s="1" t="s">
        <v>365</v>
      </c>
      <c r="B34" s="12">
        <f>portfolio_PD*portfolio_LGD</f>
        <v>3.8256650000000003E-2</v>
      </c>
      <c r="C34" s="12">
        <f>B34</f>
        <v>3.8256650000000003E-2</v>
      </c>
      <c r="D34" s="12">
        <f>B34</f>
        <v>3.8256650000000003E-2</v>
      </c>
      <c r="E34" s="12">
        <f>B34</f>
        <v>3.8256650000000003E-2</v>
      </c>
    </row>
    <row r="35" spans="1:5" x14ac:dyDescent="0.25">
      <c r="A35" s="1" t="s">
        <v>366</v>
      </c>
      <c r="B35" s="12">
        <f>B34</f>
        <v>3.8256650000000003E-2</v>
      </c>
      <c r="C35" s="12">
        <f>C19*C23</f>
        <v>6.8096836999999993E-2</v>
      </c>
      <c r="D35" s="12">
        <f>D19*D23</f>
        <v>0.134001439</v>
      </c>
      <c r="E35" s="12">
        <f>E19*E23</f>
        <v>3.8256650000000003E-2</v>
      </c>
    </row>
    <row r="36" spans="1:5" x14ac:dyDescent="0.25">
      <c r="A36" s="1" t="s">
        <v>367</v>
      </c>
      <c r="B36" s="12">
        <f>1</f>
        <v>1</v>
      </c>
      <c r="C36" s="12">
        <f>IFERROR(B35/C35,1)</f>
        <v>0.56179775280898891</v>
      </c>
      <c r="D36" s="12">
        <f>IFERROR(B35/D35,1)</f>
        <v>0.28549432219156995</v>
      </c>
      <c r="E36" s="12">
        <f>1</f>
        <v>1</v>
      </c>
    </row>
    <row r="37" spans="1:5" x14ac:dyDescent="0.25">
      <c r="A37" s="1" t="s">
        <v>360</v>
      </c>
      <c r="B37" s="12">
        <f>1</f>
        <v>1</v>
      </c>
      <c r="C37" s="12">
        <f>C29</f>
        <v>1</v>
      </c>
      <c r="D37" s="12">
        <f>D29</f>
        <v>0.93</v>
      </c>
      <c r="E37" s="12">
        <f>E29</f>
        <v>0.74863054707576415</v>
      </c>
    </row>
    <row r="38" spans="1:5" x14ac:dyDescent="0.25">
      <c r="A38" s="1" t="s">
        <v>368</v>
      </c>
      <c r="B38" s="12">
        <f>INVESTOR_RETURNS!B36</f>
        <v>1.0227431475234487</v>
      </c>
      <c r="C38" s="12">
        <f>IFERROR(B38*C36*C37,0)</f>
        <v>0.57457480197946575</v>
      </c>
      <c r="D38" s="12">
        <f>IFERROR(B38*D36*D37,0)</f>
        <v>0.27154824636080027</v>
      </c>
      <c r="E38" s="12">
        <f>IFERROR(B38*E36*E37,0)</f>
        <v>0.76565676204846844</v>
      </c>
    </row>
    <row r="39" spans="1:5" x14ac:dyDescent="0.25">
      <c r="A39" s="1" t="s">
        <v>369</v>
      </c>
      <c r="B39" s="12">
        <f>0</f>
        <v>0</v>
      </c>
      <c r="C39" s="12">
        <f>C38-B38</f>
        <v>-0.44816834554398299</v>
      </c>
      <c r="D39" s="12">
        <f>D38-B38</f>
        <v>-0.75119490116264842</v>
      </c>
      <c r="E39" s="12">
        <f>E38-B38</f>
        <v>-0.25708638547498031</v>
      </c>
    </row>
    <row r="40" spans="1:5" x14ac:dyDescent="0.25">
      <c r="A40" s="1" t="s">
        <v>370</v>
      </c>
      <c r="B40" s="12">
        <f>INVESTOR_RETURNS!B37</f>
        <v>0.71592020326641403</v>
      </c>
      <c r="C40" s="12">
        <f>C38*(1-tax_rate)</f>
        <v>0.40220236138562598</v>
      </c>
      <c r="D40" s="12">
        <f>D38*(1-tax_rate)</f>
        <v>0.19008377245256017</v>
      </c>
      <c r="E40" s="12">
        <f>E38*(1-tax_rate)</f>
        <v>0.53595973343392789</v>
      </c>
    </row>
    <row r="41" spans="1:5" x14ac:dyDescent="0.25">
      <c r="B41" s="11"/>
      <c r="C41" s="11"/>
      <c r="D41" s="11"/>
      <c r="E41" s="11"/>
    </row>
    <row r="42" spans="1:5" x14ac:dyDescent="0.25">
      <c r="A42" s="1" t="s">
        <v>371</v>
      </c>
      <c r="B42" s="11"/>
      <c r="C42" s="11"/>
      <c r="D42" s="11"/>
      <c r="E42" s="11"/>
    </row>
    <row r="43" spans="1:5" x14ac:dyDescent="0.25">
      <c r="A43" s="1" t="s">
        <v>372</v>
      </c>
      <c r="B43" s="11">
        <f>INVESTOR_RETURNS!B38</f>
        <v>7.9729259968996598</v>
      </c>
      <c r="C43" s="11">
        <f>INVESTOR_RETURNS!B38*C37*C36</f>
        <v>4.4791719083705965</v>
      </c>
      <c r="D43" s="11">
        <f>INVESTOR_RETURNS!B38*D37*D36</f>
        <v>2.1168893461326266</v>
      </c>
      <c r="E43" s="11">
        <f>INVESTOR_RETURNS!B38*E37*E36</f>
        <v>5.9687759508535745</v>
      </c>
    </row>
    <row r="44" spans="1:5" x14ac:dyDescent="0.25">
      <c r="B44" s="11"/>
      <c r="C44" s="11"/>
      <c r="D44" s="11"/>
      <c r="E44" s="11"/>
    </row>
    <row r="45" spans="1:5" x14ac:dyDescent="0.25">
      <c r="A45" s="1" t="s">
        <v>373</v>
      </c>
      <c r="B45" s="11"/>
      <c r="C45" s="11"/>
      <c r="D45" s="11"/>
      <c r="E45" s="11"/>
    </row>
    <row r="46" spans="1:5" x14ac:dyDescent="0.25">
      <c r="A46" s="1" t="s">
        <v>374</v>
      </c>
      <c r="B46" s="9" t="str">
        <f>IF(B38&gt;target_IRR,"✓","✗")</f>
        <v>✓</v>
      </c>
      <c r="C46" s="9" t="str">
        <f>IF(C38&gt;target_IRR,"✓","✗")</f>
        <v>✓</v>
      </c>
      <c r="D46" s="9" t="str">
        <f>IF(D38&gt;target_IRR,"✓","✗")</f>
        <v>✓</v>
      </c>
      <c r="E46" s="9" t="str">
        <f>IF(E38&gt;target_IRR,"✓","✗")</f>
        <v>✓</v>
      </c>
    </row>
    <row r="47" spans="1:5" x14ac:dyDescent="0.25">
      <c r="A47" s="1" t="s">
        <v>375</v>
      </c>
      <c r="B47" s="9" t="str">
        <f>IF(B38&gt;0.1,"✓","✗")</f>
        <v>✓</v>
      </c>
      <c r="C47" s="9" t="str">
        <f>IF(C38&gt;0.1,"✓","✗")</f>
        <v>✓</v>
      </c>
      <c r="D47" s="9" t="str">
        <f>IF(D38&gt;0.1,"✓","✗")</f>
        <v>✓</v>
      </c>
      <c r="E47" s="9" t="str">
        <f>IF(E38&gt;0.1,"✓","✗")</f>
        <v>✓</v>
      </c>
    </row>
    <row r="48" spans="1:5" x14ac:dyDescent="0.25">
      <c r="A48" s="1" t="s">
        <v>376</v>
      </c>
      <c r="B48" s="9" t="str">
        <f>IF(B40&gt;0,"✓","✗")</f>
        <v>✓</v>
      </c>
      <c r="C48" s="9" t="str">
        <f>IF(C40&gt;0,"✓","✗")</f>
        <v>✓</v>
      </c>
      <c r="D48" s="9" t="str">
        <f>IF(D40&gt;0,"✓","✗")</f>
        <v>✓</v>
      </c>
      <c r="E48" s="9" t="str">
        <f>IF(E40&gt;0,"✓","✗")</f>
        <v>✓</v>
      </c>
    </row>
    <row r="49" spans="1:5" x14ac:dyDescent="0.25">
      <c r="A49" s="1" t="s">
        <v>377</v>
      </c>
      <c r="B49" s="9" t="str">
        <f>IF(B43&gt;1,"✓","✗")</f>
        <v>✓</v>
      </c>
      <c r="C49" s="9" t="str">
        <f>IF(C43&gt;1,"✓","✗")</f>
        <v>✓</v>
      </c>
      <c r="D49" s="9" t="str">
        <f>IF(D43&gt;1,"✓","✗")</f>
        <v>✓</v>
      </c>
      <c r="E49" s="9" t="str">
        <f>IF(E43&gt;1,"✓","✗")</f>
        <v>✓</v>
      </c>
    </row>
    <row r="50" spans="1:5" x14ac:dyDescent="0.25">
      <c r="A50" s="1" t="s">
        <v>378</v>
      </c>
      <c r="B50" s="9" t="str">
        <f>IF(COUNTIF(B46:B49,"✗")=0,"INVEST","REVIEW")</f>
        <v>INVEST</v>
      </c>
      <c r="C50" s="9" t="str">
        <f>IF(COUNTIF(C46:C49,"✗")&lt;=1,"PROCEED","CAUTION")</f>
        <v>PROCEED</v>
      </c>
      <c r="D50" s="9" t="str">
        <f>IF(D47="✓","ACCEPTABLE DOWNSIDE","PROTECT CAPITAL")</f>
        <v>ACCEPTABLE DOWNSIDE</v>
      </c>
      <c r="E50" s="9" t="str">
        <f>IF(E48="✓","MANAGEABLE","REVIEW PRICING")</f>
        <v>MANAGEABLE</v>
      </c>
    </row>
    <row r="53" spans="1:5" ht="30" x14ac:dyDescent="0.25">
      <c r="A53" s="2" t="s">
        <v>379</v>
      </c>
    </row>
    <row r="55" spans="1:5" x14ac:dyDescent="0.25">
      <c r="B55" s="11" t="s">
        <v>335</v>
      </c>
      <c r="C55" s="11" t="s">
        <v>336</v>
      </c>
      <c r="D55" s="11" t="s">
        <v>337</v>
      </c>
      <c r="E55" s="11" t="s">
        <v>338</v>
      </c>
    </row>
    <row r="56" spans="1:5" x14ac:dyDescent="0.25">
      <c r="A56" s="1" t="s">
        <v>380</v>
      </c>
      <c r="B56" s="11" t="str">
        <f>TEXT(B19,"0.0%")</f>
        <v>8.6%</v>
      </c>
      <c r="C56" s="11" t="str">
        <f t="shared" ref="C56:E56" si="0">TEXT(C19,"0.0%")</f>
        <v>15.3%</v>
      </c>
      <c r="D56" s="11" t="str">
        <f t="shared" si="0"/>
        <v>24.6%</v>
      </c>
      <c r="E56" s="11" t="str">
        <f t="shared" si="0"/>
        <v>8.6%</v>
      </c>
    </row>
    <row r="57" spans="1:5" x14ac:dyDescent="0.25">
      <c r="A57" s="1" t="s">
        <v>381</v>
      </c>
      <c r="B57" s="11" t="str">
        <f>TEXT(B23,"0.0%")</f>
        <v>44.5%</v>
      </c>
      <c r="C57" s="11" t="str">
        <f t="shared" ref="C57:E57" si="1">TEXT(C23,"0.0%")</f>
        <v>44.5%</v>
      </c>
      <c r="D57" s="11" t="str">
        <f t="shared" si="1"/>
        <v>54.5%</v>
      </c>
      <c r="E57" s="11" t="str">
        <f t="shared" si="1"/>
        <v>44.5%</v>
      </c>
    </row>
    <row r="58" spans="1:5" x14ac:dyDescent="0.25">
      <c r="A58" s="1" t="s">
        <v>382</v>
      </c>
      <c r="B58" s="11" t="str">
        <f>TEXT(B24,"0.0%")</f>
        <v>3.8%</v>
      </c>
      <c r="C58" s="11" t="str">
        <f t="shared" ref="C58:E58" si="2">TEXT(C24,"0.0%")</f>
        <v>6.8%</v>
      </c>
      <c r="D58" s="11" t="str">
        <f t="shared" si="2"/>
        <v>13.4%</v>
      </c>
      <c r="E58" s="11" t="str">
        <f t="shared" si="2"/>
        <v>3.8%</v>
      </c>
    </row>
    <row r="59" spans="1:5" x14ac:dyDescent="0.25">
      <c r="A59" s="1" t="s">
        <v>359</v>
      </c>
      <c r="B59" s="11" t="str">
        <f>TEXT(B28,"0.0%")</f>
        <v>31.8%</v>
      </c>
      <c r="C59" s="11" t="str">
        <f t="shared" ref="C59:E59" si="3">TEXT(C28,"0.0%")</f>
        <v>31.8%</v>
      </c>
      <c r="D59" s="11" t="str">
        <f t="shared" si="3"/>
        <v>31.8%</v>
      </c>
      <c r="E59" s="11" t="str">
        <f t="shared" si="3"/>
        <v>23.8%</v>
      </c>
    </row>
    <row r="60" spans="1:5" x14ac:dyDescent="0.25">
      <c r="A60" s="1" t="s">
        <v>294</v>
      </c>
      <c r="B60" s="11" t="str">
        <f>TEXT(B38,"0.0%")</f>
        <v>102.3%</v>
      </c>
      <c r="C60" s="11" t="str">
        <f t="shared" ref="C60:E60" si="4">TEXT(C38,"0.0%")</f>
        <v>57.5%</v>
      </c>
      <c r="D60" s="11" t="str">
        <f t="shared" si="4"/>
        <v>27.2%</v>
      </c>
      <c r="E60" s="11" t="str">
        <f t="shared" si="4"/>
        <v>76.6%</v>
      </c>
    </row>
    <row r="61" spans="1:5" x14ac:dyDescent="0.25">
      <c r="A61" s="1" t="s">
        <v>295</v>
      </c>
      <c r="B61" s="11" t="str">
        <f>TEXT(B40,"0.0%")</f>
        <v>71.6%</v>
      </c>
      <c r="C61" s="11" t="str">
        <f t="shared" ref="C61:E61" si="5">TEXT(C40,"0.0%")</f>
        <v>40.2%</v>
      </c>
      <c r="D61" s="11" t="str">
        <f t="shared" si="5"/>
        <v>19.0%</v>
      </c>
      <c r="E61" s="11" t="str">
        <f t="shared" si="5"/>
        <v>53.6%</v>
      </c>
    </row>
    <row r="62" spans="1:5" x14ac:dyDescent="0.25">
      <c r="A62" s="1" t="s">
        <v>296</v>
      </c>
      <c r="B62" s="11" t="str">
        <f>TEXT(B43,"0.0x")</f>
        <v>8.0x</v>
      </c>
      <c r="C62" s="11" t="str">
        <f t="shared" ref="C62:E62" si="6">TEXT(C43,"0.0x")</f>
        <v>4.5x</v>
      </c>
      <c r="D62" s="11" t="str">
        <f t="shared" si="6"/>
        <v>2.1x</v>
      </c>
      <c r="E62" s="11" t="str">
        <f t="shared" si="6"/>
        <v>6.0x</v>
      </c>
    </row>
    <row r="63" spans="1:5" x14ac:dyDescent="0.25">
      <c r="A63" s="1" t="s">
        <v>383</v>
      </c>
      <c r="B63" s="11" t="str">
        <f>B50</f>
        <v>INVEST</v>
      </c>
      <c r="C63" s="11" t="str">
        <f t="shared" ref="C63:E63" si="7">C50</f>
        <v>PROCEED</v>
      </c>
      <c r="D63" s="11" t="str">
        <f t="shared" si="7"/>
        <v>ACCEPTABLE DOWNSIDE</v>
      </c>
      <c r="E63" s="11" t="str">
        <f t="shared" si="7"/>
        <v>MANAGEABLE</v>
      </c>
    </row>
    <row r="65" spans="1:1" x14ac:dyDescent="0.25">
      <c r="A65" s="1" t="s">
        <v>384</v>
      </c>
    </row>
    <row r="66" spans="1:1" x14ac:dyDescent="0.25">
      <c r="A66" s="1" t="s">
        <v>385</v>
      </c>
    </row>
    <row r="67" spans="1:1" x14ac:dyDescent="0.25">
      <c r="A67" s="1" t="s">
        <v>386</v>
      </c>
    </row>
    <row r="68" spans="1:1" x14ac:dyDescent="0.25">
      <c r="A68" s="1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30</vt:i4>
      </vt:variant>
    </vt:vector>
  </HeadingPairs>
  <TitlesOfParts>
    <vt:vector size="38" baseType="lpstr">
      <vt:lpstr>ASSUMPTIONS</vt:lpstr>
      <vt:lpstr>MARKET_MODEL</vt:lpstr>
      <vt:lpstr>RISK_SEGMENTS</vt:lpstr>
      <vt:lpstr>LOAN_CASHFLOWS</vt:lpstr>
      <vt:lpstr>PORTFOLIO</vt:lpstr>
      <vt:lpstr>INCOME_STATEMENT</vt:lpstr>
      <vt:lpstr>INVESTOR_RETURNS</vt:lpstr>
      <vt:lpstr>STRESS_TEST</vt:lpstr>
      <vt:lpstr>approval_rate</vt:lpstr>
      <vt:lpstr>avg_loan_size</vt:lpstr>
      <vt:lpstr>avg_term_months</vt:lpstr>
      <vt:lpstr>CAC_blended</vt:lpstr>
      <vt:lpstr>CAC_organic</vt:lpstr>
      <vt:lpstr>CAC_paid</vt:lpstr>
      <vt:lpstr>churn_rate</vt:lpstr>
      <vt:lpstr>cost_of_debt</vt:lpstr>
      <vt:lpstr>equity_ratio</vt:lpstr>
      <vt:lpstr>exit_multiple_ebitda</vt:lpstr>
      <vt:lpstr>inflation_elasticity</vt:lpstr>
      <vt:lpstr>LGD_nearprime</vt:lpstr>
      <vt:lpstr>LGD_prime</vt:lpstr>
      <vt:lpstr>LGD_recession_uplift</vt:lpstr>
      <vt:lpstr>LGD_subprime</vt:lpstr>
      <vt:lpstr>monthly_growth_rate</vt:lpstr>
      <vt:lpstr>origination_fee</vt:lpstr>
      <vt:lpstr>PD_nearprime</vt:lpstr>
      <vt:lpstr>PD_prime</vt:lpstr>
      <vt:lpstr>PD_subprime</vt:lpstr>
      <vt:lpstr>portfolio_LGD</vt:lpstr>
      <vt:lpstr>portfolio_PD</vt:lpstr>
      <vt:lpstr>rate_elasticity</vt:lpstr>
      <vt:lpstr>repeat_rate</vt:lpstr>
      <vt:lpstr>share_nearprime</vt:lpstr>
      <vt:lpstr>share_prime</vt:lpstr>
      <vt:lpstr>share_subprime</vt:lpstr>
      <vt:lpstr>target_IRR</vt:lpstr>
      <vt:lpstr>tax_rate</vt:lpstr>
      <vt:lpstr>unemp_elasticity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Mutuku</dc:creator>
  <cp:lastModifiedBy>Jeff Mutuku</cp:lastModifiedBy>
  <dcterms:created xsi:type="dcterms:W3CDTF">2015-06-05T18:17:20Z</dcterms:created>
  <dcterms:modified xsi:type="dcterms:W3CDTF">2026-02-26T17:38:08Z</dcterms:modified>
</cp:coreProperties>
</file>